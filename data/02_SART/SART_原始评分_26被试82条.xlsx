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ZW\汇总\"/>
    </mc:Choice>
  </mc:AlternateContent>
  <xr:revisionPtr revIDLastSave="0" documentId="8_{B2BED893-B7E7-4D89-B160-088EF5459C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计算说明" sheetId="2" r:id="rId2"/>
    <sheet name="难度汇总" sheetId="3" r:id="rId3"/>
  </sheets>
  <calcPr calcId="191029"/>
  <fileRecoveryPr repairLoad="1"/>
</workbook>
</file>

<file path=xl/calcChain.xml><?xml version="1.0" encoding="utf-8"?>
<calcChain xmlns="http://schemas.openxmlformats.org/spreadsheetml/2006/main">
  <c r="C4" i="3" l="1"/>
  <c r="B4" i="3"/>
  <c r="C3" i="3"/>
  <c r="B3" i="3"/>
  <c r="C2" i="3"/>
  <c r="B2" i="3"/>
  <c r="Q83" i="1"/>
  <c r="P83" i="1"/>
  <c r="O83" i="1"/>
  <c r="N83" i="1"/>
  <c r="Q82" i="1"/>
  <c r="P82" i="1"/>
  <c r="O82" i="1"/>
  <c r="N82" i="1"/>
  <c r="Q81" i="1"/>
  <c r="P81" i="1"/>
  <c r="O81" i="1"/>
  <c r="N81" i="1"/>
  <c r="Q80" i="1"/>
  <c r="P80" i="1"/>
  <c r="O80" i="1"/>
  <c r="N80" i="1"/>
  <c r="Q79" i="1"/>
  <c r="P79" i="1"/>
  <c r="O79" i="1"/>
  <c r="N79" i="1"/>
  <c r="Q78" i="1"/>
  <c r="P78" i="1"/>
  <c r="O78" i="1"/>
  <c r="N78" i="1"/>
  <c r="Q77" i="1"/>
  <c r="P77" i="1"/>
  <c r="O77" i="1"/>
  <c r="N77" i="1"/>
  <c r="Q76" i="1"/>
  <c r="P76" i="1"/>
  <c r="O76" i="1"/>
  <c r="N76" i="1"/>
  <c r="Q75" i="1"/>
  <c r="P75" i="1"/>
  <c r="O75" i="1"/>
  <c r="N75" i="1"/>
  <c r="Q74" i="1"/>
  <c r="P74" i="1"/>
  <c r="O74" i="1"/>
  <c r="N74" i="1"/>
  <c r="Q73" i="1"/>
  <c r="P73" i="1"/>
  <c r="O73" i="1"/>
  <c r="N73" i="1"/>
  <c r="Q72" i="1"/>
  <c r="P72" i="1"/>
  <c r="O72" i="1"/>
  <c r="N72" i="1"/>
  <c r="Q71" i="1"/>
  <c r="P71" i="1"/>
  <c r="O71" i="1"/>
  <c r="N71" i="1"/>
  <c r="Q70" i="1"/>
  <c r="P70" i="1"/>
  <c r="O70" i="1"/>
  <c r="N70" i="1"/>
  <c r="Q69" i="1"/>
  <c r="P69" i="1"/>
  <c r="O69" i="1"/>
  <c r="N69" i="1"/>
  <c r="Q68" i="1"/>
  <c r="P68" i="1"/>
  <c r="O68" i="1"/>
  <c r="N68" i="1"/>
  <c r="Q67" i="1"/>
  <c r="P67" i="1"/>
  <c r="O67" i="1"/>
  <c r="N67" i="1"/>
  <c r="Q66" i="1"/>
  <c r="P66" i="1"/>
  <c r="O66" i="1"/>
  <c r="N66" i="1"/>
  <c r="Q65" i="1"/>
  <c r="P65" i="1"/>
  <c r="O65" i="1"/>
  <c r="N65" i="1"/>
  <c r="Q64" i="1"/>
  <c r="P64" i="1"/>
  <c r="O64" i="1"/>
  <c r="N64" i="1"/>
  <c r="Q63" i="1"/>
  <c r="P63" i="1"/>
  <c r="O63" i="1"/>
  <c r="N63" i="1"/>
  <c r="Q62" i="1"/>
  <c r="P62" i="1"/>
  <c r="O62" i="1"/>
  <c r="N62" i="1"/>
  <c r="Q61" i="1"/>
  <c r="P61" i="1"/>
  <c r="O61" i="1"/>
  <c r="N61" i="1"/>
  <c r="Q60" i="1"/>
  <c r="P60" i="1"/>
  <c r="O60" i="1"/>
  <c r="N60" i="1"/>
  <c r="Q59" i="1"/>
  <c r="P59" i="1"/>
  <c r="O59" i="1"/>
  <c r="N59" i="1"/>
  <c r="Q58" i="1"/>
  <c r="P58" i="1"/>
  <c r="O58" i="1"/>
  <c r="N58" i="1"/>
  <c r="Q57" i="1"/>
  <c r="P57" i="1"/>
  <c r="O57" i="1"/>
  <c r="N57" i="1"/>
  <c r="Q56" i="1"/>
  <c r="P56" i="1"/>
  <c r="O56" i="1"/>
  <c r="N56" i="1"/>
  <c r="Q55" i="1"/>
  <c r="P55" i="1"/>
  <c r="O55" i="1"/>
  <c r="N55" i="1"/>
  <c r="Q54" i="1"/>
  <c r="P54" i="1"/>
  <c r="O54" i="1"/>
  <c r="N54" i="1"/>
  <c r="Q53" i="1"/>
  <c r="P53" i="1"/>
  <c r="O53" i="1"/>
  <c r="N53" i="1"/>
  <c r="Q52" i="1"/>
  <c r="P52" i="1"/>
  <c r="O52" i="1"/>
  <c r="N52" i="1"/>
  <c r="Q51" i="1"/>
  <c r="P51" i="1"/>
  <c r="O51" i="1"/>
  <c r="N51" i="1"/>
  <c r="Q50" i="1"/>
  <c r="P50" i="1"/>
  <c r="O50" i="1"/>
  <c r="N50" i="1"/>
  <c r="Q49" i="1"/>
  <c r="P49" i="1"/>
  <c r="O49" i="1"/>
  <c r="N49" i="1"/>
  <c r="Q48" i="1"/>
  <c r="P48" i="1"/>
  <c r="O48" i="1"/>
  <c r="N48" i="1"/>
  <c r="Q47" i="1"/>
  <c r="P47" i="1"/>
  <c r="O47" i="1"/>
  <c r="N47" i="1"/>
  <c r="Q46" i="1"/>
  <c r="P46" i="1"/>
  <c r="O46" i="1"/>
  <c r="N46" i="1"/>
  <c r="Q45" i="1"/>
  <c r="P45" i="1"/>
  <c r="O45" i="1"/>
  <c r="N45" i="1"/>
  <c r="Q44" i="1"/>
  <c r="P44" i="1"/>
  <c r="O44" i="1"/>
  <c r="N44" i="1"/>
  <c r="Q43" i="1"/>
  <c r="P43" i="1"/>
  <c r="O43" i="1"/>
  <c r="N43" i="1"/>
  <c r="Q42" i="1"/>
  <c r="P42" i="1"/>
  <c r="O42" i="1"/>
  <c r="N42" i="1"/>
  <c r="Q41" i="1"/>
  <c r="P41" i="1"/>
  <c r="O41" i="1"/>
  <c r="N41" i="1"/>
  <c r="Q40" i="1"/>
  <c r="P40" i="1"/>
  <c r="O40" i="1"/>
  <c r="N40" i="1"/>
  <c r="Q39" i="1"/>
  <c r="P39" i="1"/>
  <c r="O39" i="1"/>
  <c r="N39" i="1"/>
  <c r="Q38" i="1"/>
  <c r="P38" i="1"/>
  <c r="O38" i="1"/>
  <c r="N38" i="1"/>
  <c r="Q37" i="1"/>
  <c r="P37" i="1"/>
  <c r="O37" i="1"/>
  <c r="N37" i="1"/>
  <c r="Q36" i="1"/>
  <c r="P36" i="1"/>
  <c r="O36" i="1"/>
  <c r="N36" i="1"/>
  <c r="Q35" i="1"/>
  <c r="P35" i="1"/>
  <c r="O35" i="1"/>
  <c r="N35" i="1"/>
  <c r="Q34" i="1"/>
  <c r="P34" i="1"/>
  <c r="O34" i="1"/>
  <c r="N34" i="1"/>
  <c r="Q33" i="1"/>
  <c r="P33" i="1"/>
  <c r="O33" i="1"/>
  <c r="N33" i="1"/>
  <c r="Q32" i="1"/>
  <c r="P32" i="1"/>
  <c r="O32" i="1"/>
  <c r="N32" i="1"/>
  <c r="Q31" i="1"/>
  <c r="P31" i="1"/>
  <c r="O31" i="1"/>
  <c r="N31" i="1"/>
  <c r="Q30" i="1"/>
  <c r="P30" i="1"/>
  <c r="O30" i="1"/>
  <c r="N30" i="1"/>
  <c r="Q29" i="1"/>
  <c r="P29" i="1"/>
  <c r="O29" i="1"/>
  <c r="N29" i="1"/>
  <c r="Q28" i="1"/>
  <c r="P28" i="1"/>
  <c r="O28" i="1"/>
  <c r="N28" i="1"/>
  <c r="Q27" i="1"/>
  <c r="P27" i="1"/>
  <c r="O27" i="1"/>
  <c r="N27" i="1"/>
  <c r="Q26" i="1"/>
  <c r="P26" i="1"/>
  <c r="O26" i="1"/>
  <c r="N26" i="1"/>
  <c r="Q25" i="1"/>
  <c r="P25" i="1"/>
  <c r="O25" i="1"/>
  <c r="N25" i="1"/>
  <c r="Q24" i="1"/>
  <c r="P24" i="1"/>
  <c r="O24" i="1"/>
  <c r="N24" i="1"/>
  <c r="Q23" i="1"/>
  <c r="P23" i="1"/>
  <c r="O23" i="1"/>
  <c r="N23" i="1"/>
  <c r="Q22" i="1"/>
  <c r="P22" i="1"/>
  <c r="O22" i="1"/>
  <c r="N22" i="1"/>
  <c r="Q21" i="1"/>
  <c r="P21" i="1"/>
  <c r="O21" i="1"/>
  <c r="N21" i="1"/>
  <c r="Q20" i="1"/>
  <c r="P20" i="1"/>
  <c r="O20" i="1"/>
  <c r="N20" i="1"/>
  <c r="Q19" i="1"/>
  <c r="P19" i="1"/>
  <c r="O19" i="1"/>
  <c r="N19" i="1"/>
  <c r="Q18" i="1"/>
  <c r="P18" i="1"/>
  <c r="O18" i="1"/>
  <c r="N18" i="1"/>
  <c r="Q17" i="1"/>
  <c r="P17" i="1"/>
  <c r="O17" i="1"/>
  <c r="N17" i="1"/>
  <c r="Q16" i="1"/>
  <c r="P16" i="1"/>
  <c r="O16" i="1"/>
  <c r="N16" i="1"/>
  <c r="Q15" i="1"/>
  <c r="P15" i="1"/>
  <c r="O15" i="1"/>
  <c r="N15" i="1"/>
  <c r="Q14" i="1"/>
  <c r="P14" i="1"/>
  <c r="O14" i="1"/>
  <c r="N14" i="1"/>
  <c r="Q13" i="1"/>
  <c r="P13" i="1"/>
  <c r="O13" i="1"/>
  <c r="N13" i="1"/>
  <c r="Q12" i="1"/>
  <c r="P12" i="1"/>
  <c r="O12" i="1"/>
  <c r="N12" i="1"/>
  <c r="Q11" i="1"/>
  <c r="P11" i="1"/>
  <c r="O11" i="1"/>
  <c r="N11" i="1"/>
  <c r="Q10" i="1"/>
  <c r="P10" i="1"/>
  <c r="O10" i="1"/>
  <c r="N10" i="1"/>
  <c r="Q9" i="1"/>
  <c r="P9" i="1"/>
  <c r="O9" i="1"/>
  <c r="N9" i="1"/>
  <c r="Q8" i="1"/>
  <c r="P8" i="1"/>
  <c r="O8" i="1"/>
  <c r="N8" i="1"/>
  <c r="Q7" i="1"/>
  <c r="P7" i="1"/>
  <c r="O7" i="1"/>
  <c r="N7" i="1"/>
  <c r="Q6" i="1"/>
  <c r="P6" i="1"/>
  <c r="O6" i="1"/>
  <c r="N6" i="1"/>
  <c r="Q5" i="1"/>
  <c r="P5" i="1"/>
  <c r="O5" i="1"/>
  <c r="N5" i="1"/>
  <c r="Q4" i="1"/>
  <c r="P4" i="1"/>
  <c r="O4" i="1"/>
  <c r="N4" i="1"/>
  <c r="Q3" i="1"/>
  <c r="P3" i="1"/>
  <c r="O3" i="1"/>
  <c r="N3" i="1"/>
  <c r="Q2" i="1"/>
  <c r="P2" i="1"/>
  <c r="O2" i="1"/>
  <c r="N2" i="1"/>
</calcChain>
</file>

<file path=xl/sharedStrings.xml><?xml version="1.0" encoding="utf-8"?>
<sst xmlns="http://schemas.openxmlformats.org/spreadsheetml/2006/main" count="149" uniqueCount="40">
  <si>
    <t>被试</t>
  </si>
  <si>
    <t>任务</t>
  </si>
  <si>
    <t>任务难度</t>
  </si>
  <si>
    <t>情景不稳定性D</t>
  </si>
  <si>
    <t>情景复杂性D</t>
  </si>
  <si>
    <t>情景变动性D</t>
  </si>
  <si>
    <t>觉醒力S</t>
  </si>
  <si>
    <t>剩余脑力S</t>
  </si>
  <si>
    <t>专注力S</t>
  </si>
  <si>
    <t>注意力分割S</t>
  </si>
  <si>
    <t>信息数量U</t>
  </si>
  <si>
    <t>信息质量U</t>
  </si>
  <si>
    <t>情景熟悉度U</t>
  </si>
  <si>
    <t>中</t>
  </si>
  <si>
    <t>5_6</t>
  </si>
  <si>
    <t>高</t>
  </si>
  <si>
    <t>低</t>
  </si>
  <si>
    <t>5_6_1</t>
  </si>
  <si>
    <t>5_6_2</t>
  </si>
  <si>
    <t>SART总分</t>
  </si>
  <si>
    <t>Demand合计(D)</t>
  </si>
  <si>
    <t>Supply合计(S)</t>
  </si>
  <si>
    <t>Understanding合计(U)</t>
  </si>
  <si>
    <t>SART总分计算说明</t>
  </si>
  <si>
    <t>项目</t>
  </si>
  <si>
    <t>说明</t>
  </si>
  <si>
    <t>Demand(D)</t>
  </si>
  <si>
    <t>情景不稳定性D + 情景复杂性D + 情景变动性D</t>
  </si>
  <si>
    <t>Supply(S)</t>
  </si>
  <si>
    <t>觉醒力S + 剩余脑力S + 专注力S + 注意力分割S</t>
  </si>
  <si>
    <t>Understanding(U)</t>
  </si>
  <si>
    <t>信息数量U + 信息质量U + 情景熟悉度U</t>
  </si>
  <si>
    <t>Supply(S) + Understanding(U) - Demand(D)</t>
  </si>
  <si>
    <t>数据范围</t>
  </si>
  <si>
    <t>Sheet1!A1:Q83；SART总分位于 Sheet1!N 列，三个分量位于 O:Q 列</t>
  </si>
  <si>
    <t>样本量</t>
  </si>
  <si>
    <t>SART总分均值</t>
  </si>
  <si>
    <t>标准差</t>
  </si>
  <si>
    <t>最小值</t>
  </si>
  <si>
    <t>最大值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</si>
</sst>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</font>
    <font>
      <sz val="9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4"/>
      <color rgb="FFFFFFFF"/>
      <name val="宋体"/>
      <family val="3"/>
      <charset val="134"/>
    </font>
    <font>
      <b/>
      <sz val="11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/>
    </xf>
    <xf numFmtId="0" fontId="4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2" fontId="0" fillId="0" borderId="0" xfId="0" applyNumberFormat="1">
      <alignment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tabSelected="1" topLeftCell="A64" workbookViewId="0">
      <selection activeCell="Q1" sqref="Q1:Q1048576"/>
    </sheetView>
  </sheetViews>
  <sheetFormatPr defaultColWidth="9" defaultRowHeight="13.5" x14ac:dyDescent="0.15"/>
  <cols>
    <col min="1" max="1" width="3.875" customWidth="1"/>
    <col min="2" max="2" width="4.875" style="1" customWidth="1"/>
    <col min="3" max="3" width="7.75" customWidth="1"/>
    <col min="4" max="4" width="13" customWidth="1"/>
    <col min="5" max="6" width="11" customWidth="1"/>
    <col min="7" max="7" width="6.75" customWidth="1"/>
    <col min="8" max="8" width="8.75" customWidth="1"/>
    <col min="9" max="9" width="6.75" customWidth="1"/>
    <col min="10" max="10" width="10.75" customWidth="1"/>
    <col min="11" max="12" width="9.125" customWidth="1"/>
    <col min="13" max="13" width="11" customWidth="1"/>
    <col min="14" max="14" width="8.125" customWidth="1"/>
    <col min="15" max="15" width="13.375" customWidth="1"/>
    <col min="16" max="16" width="11.625" customWidth="1"/>
    <col min="17" max="17" width="18.5" customWidth="1"/>
  </cols>
  <sheetData>
    <row r="1" spans="1:17" ht="27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19</v>
      </c>
      <c r="O1" s="2" t="s">
        <v>20</v>
      </c>
      <c r="P1" s="2" t="s">
        <v>21</v>
      </c>
      <c r="Q1" s="2" t="s">
        <v>22</v>
      </c>
    </row>
    <row r="2" spans="1:17" x14ac:dyDescent="0.15">
      <c r="A2">
        <v>1</v>
      </c>
      <c r="B2" s="1">
        <v>2</v>
      </c>
      <c r="C2" t="s">
        <v>13</v>
      </c>
      <c r="D2">
        <v>1</v>
      </c>
      <c r="E2">
        <v>4</v>
      </c>
      <c r="F2">
        <v>3</v>
      </c>
      <c r="G2">
        <v>3</v>
      </c>
      <c r="H2">
        <v>2</v>
      </c>
      <c r="I2">
        <v>4</v>
      </c>
      <c r="J2">
        <v>4</v>
      </c>
      <c r="K2">
        <v>5</v>
      </c>
      <c r="L2">
        <v>5</v>
      </c>
      <c r="M2">
        <v>4</v>
      </c>
      <c r="N2">
        <f t="shared" ref="N2:N33" si="0">SUM(G2:J2)+SUM(K2:M2)-SUM(D2:F2)</f>
        <v>19</v>
      </c>
      <c r="O2">
        <f t="shared" ref="O2:O33" si="1">SUM(D2:F2)</f>
        <v>8</v>
      </c>
      <c r="P2">
        <f t="shared" ref="P2:P33" si="2">SUM(G2:J2)</f>
        <v>13</v>
      </c>
      <c r="Q2">
        <f t="shared" ref="Q2:Q33" si="3">SUM(K2:M2)</f>
        <v>14</v>
      </c>
    </row>
    <row r="3" spans="1:17" x14ac:dyDescent="0.15">
      <c r="A3">
        <v>1</v>
      </c>
      <c r="B3" s="1" t="s">
        <v>14</v>
      </c>
      <c r="C3" t="s">
        <v>15</v>
      </c>
      <c r="D3">
        <v>4</v>
      </c>
      <c r="E3">
        <v>5</v>
      </c>
      <c r="F3">
        <v>5</v>
      </c>
      <c r="G3">
        <v>4</v>
      </c>
      <c r="H3">
        <v>1</v>
      </c>
      <c r="I3">
        <v>5</v>
      </c>
      <c r="J3">
        <v>5</v>
      </c>
      <c r="K3">
        <v>6</v>
      </c>
      <c r="L3">
        <v>4</v>
      </c>
      <c r="M3">
        <v>3</v>
      </c>
      <c r="N3">
        <f t="shared" si="0"/>
        <v>14</v>
      </c>
      <c r="O3">
        <f t="shared" si="1"/>
        <v>14</v>
      </c>
      <c r="P3">
        <f t="shared" si="2"/>
        <v>15</v>
      </c>
      <c r="Q3">
        <f t="shared" si="3"/>
        <v>13</v>
      </c>
    </row>
    <row r="4" spans="1:17" x14ac:dyDescent="0.15">
      <c r="A4">
        <v>1</v>
      </c>
      <c r="B4" s="1">
        <v>3</v>
      </c>
      <c r="C4" t="s">
        <v>16</v>
      </c>
      <c r="D4">
        <v>1</v>
      </c>
      <c r="E4">
        <v>2</v>
      </c>
      <c r="F4">
        <v>2</v>
      </c>
      <c r="G4">
        <v>2</v>
      </c>
      <c r="H4">
        <v>6</v>
      </c>
      <c r="I4">
        <v>4</v>
      </c>
      <c r="J4">
        <v>6</v>
      </c>
      <c r="K4">
        <v>2</v>
      </c>
      <c r="L4">
        <v>2</v>
      </c>
      <c r="M4">
        <v>4</v>
      </c>
      <c r="N4">
        <f t="shared" si="0"/>
        <v>21</v>
      </c>
      <c r="O4">
        <f t="shared" si="1"/>
        <v>5</v>
      </c>
      <c r="P4">
        <f t="shared" si="2"/>
        <v>18</v>
      </c>
      <c r="Q4">
        <f t="shared" si="3"/>
        <v>8</v>
      </c>
    </row>
    <row r="5" spans="1:17" x14ac:dyDescent="0.15">
      <c r="A5">
        <v>2</v>
      </c>
      <c r="B5" s="1">
        <v>1</v>
      </c>
      <c r="C5" t="s">
        <v>13</v>
      </c>
      <c r="D5">
        <v>2</v>
      </c>
      <c r="E5">
        <v>3</v>
      </c>
      <c r="F5">
        <v>5</v>
      </c>
      <c r="G5">
        <v>4</v>
      </c>
      <c r="H5">
        <v>5</v>
      </c>
      <c r="I5">
        <v>3</v>
      </c>
      <c r="J5">
        <v>4</v>
      </c>
      <c r="K5">
        <v>4</v>
      </c>
      <c r="L5">
        <v>5</v>
      </c>
      <c r="M5">
        <v>4</v>
      </c>
      <c r="N5">
        <f t="shared" si="0"/>
        <v>19</v>
      </c>
      <c r="O5">
        <f t="shared" si="1"/>
        <v>10</v>
      </c>
      <c r="P5">
        <f t="shared" si="2"/>
        <v>16</v>
      </c>
      <c r="Q5">
        <f t="shared" si="3"/>
        <v>13</v>
      </c>
    </row>
    <row r="6" spans="1:17" x14ac:dyDescent="0.15">
      <c r="A6">
        <v>2</v>
      </c>
      <c r="B6" s="1" t="s">
        <v>14</v>
      </c>
      <c r="C6" t="s">
        <v>15</v>
      </c>
      <c r="D6">
        <v>4</v>
      </c>
      <c r="E6">
        <v>3</v>
      </c>
      <c r="F6">
        <v>4</v>
      </c>
      <c r="G6">
        <v>5</v>
      </c>
      <c r="H6">
        <v>3</v>
      </c>
      <c r="I6">
        <v>4</v>
      </c>
      <c r="J6">
        <v>5</v>
      </c>
      <c r="K6">
        <v>4</v>
      </c>
      <c r="L6">
        <v>5</v>
      </c>
      <c r="M6">
        <v>3</v>
      </c>
      <c r="N6">
        <f t="shared" si="0"/>
        <v>18</v>
      </c>
      <c r="O6">
        <f t="shared" si="1"/>
        <v>11</v>
      </c>
      <c r="P6">
        <f t="shared" si="2"/>
        <v>17</v>
      </c>
      <c r="Q6">
        <f t="shared" si="3"/>
        <v>12</v>
      </c>
    </row>
    <row r="7" spans="1:17" x14ac:dyDescent="0.15">
      <c r="A7">
        <v>2</v>
      </c>
      <c r="B7" s="1">
        <v>3</v>
      </c>
      <c r="C7" t="s">
        <v>16</v>
      </c>
      <c r="D7">
        <v>2</v>
      </c>
      <c r="E7">
        <v>2</v>
      </c>
      <c r="F7">
        <v>3</v>
      </c>
      <c r="G7">
        <v>3</v>
      </c>
      <c r="H7">
        <v>5</v>
      </c>
      <c r="I7">
        <v>4</v>
      </c>
      <c r="J7">
        <v>4</v>
      </c>
      <c r="K7">
        <v>3</v>
      </c>
      <c r="L7">
        <v>6</v>
      </c>
      <c r="M7">
        <v>5</v>
      </c>
      <c r="N7">
        <f t="shared" si="0"/>
        <v>23</v>
      </c>
      <c r="O7">
        <f t="shared" si="1"/>
        <v>7</v>
      </c>
      <c r="P7">
        <f t="shared" si="2"/>
        <v>16</v>
      </c>
      <c r="Q7">
        <f t="shared" si="3"/>
        <v>14</v>
      </c>
    </row>
    <row r="8" spans="1:17" x14ac:dyDescent="0.15">
      <c r="A8">
        <v>3</v>
      </c>
      <c r="B8" s="1">
        <v>1</v>
      </c>
      <c r="C8" t="s">
        <v>13</v>
      </c>
      <c r="D8">
        <v>2</v>
      </c>
      <c r="E8">
        <v>3</v>
      </c>
      <c r="F8">
        <v>2</v>
      </c>
      <c r="G8">
        <v>2</v>
      </c>
      <c r="H8">
        <v>3</v>
      </c>
      <c r="I8">
        <v>3</v>
      </c>
      <c r="J8">
        <v>4</v>
      </c>
      <c r="K8">
        <v>6</v>
      </c>
      <c r="L8">
        <v>5</v>
      </c>
      <c r="M8">
        <v>3</v>
      </c>
      <c r="N8">
        <f t="shared" si="0"/>
        <v>19</v>
      </c>
      <c r="O8">
        <f t="shared" si="1"/>
        <v>7</v>
      </c>
      <c r="P8">
        <f t="shared" si="2"/>
        <v>12</v>
      </c>
      <c r="Q8">
        <f t="shared" si="3"/>
        <v>14</v>
      </c>
    </row>
    <row r="9" spans="1:17" x14ac:dyDescent="0.15">
      <c r="A9">
        <v>3</v>
      </c>
      <c r="B9" s="1">
        <v>4</v>
      </c>
      <c r="C9" t="s">
        <v>13</v>
      </c>
      <c r="D9">
        <v>2</v>
      </c>
      <c r="E9">
        <v>2</v>
      </c>
      <c r="F9">
        <v>3</v>
      </c>
      <c r="G9">
        <v>2</v>
      </c>
      <c r="H9">
        <v>3</v>
      </c>
      <c r="I9">
        <v>2</v>
      </c>
      <c r="J9">
        <v>5</v>
      </c>
      <c r="K9">
        <v>5</v>
      </c>
      <c r="L9">
        <v>4</v>
      </c>
      <c r="M9">
        <v>2</v>
      </c>
      <c r="N9">
        <f t="shared" si="0"/>
        <v>16</v>
      </c>
      <c r="O9">
        <f t="shared" si="1"/>
        <v>7</v>
      </c>
      <c r="P9">
        <f t="shared" si="2"/>
        <v>12</v>
      </c>
      <c r="Q9">
        <f t="shared" si="3"/>
        <v>11</v>
      </c>
    </row>
    <row r="10" spans="1:17" x14ac:dyDescent="0.15">
      <c r="A10">
        <v>3</v>
      </c>
      <c r="B10" s="1" t="s">
        <v>14</v>
      </c>
      <c r="C10" t="s">
        <v>15</v>
      </c>
      <c r="D10">
        <v>3</v>
      </c>
      <c r="E10">
        <v>3</v>
      </c>
      <c r="F10">
        <v>3</v>
      </c>
      <c r="G10">
        <v>2</v>
      </c>
      <c r="H10">
        <v>4</v>
      </c>
      <c r="I10">
        <v>5</v>
      </c>
      <c r="J10">
        <v>4</v>
      </c>
      <c r="K10">
        <v>5</v>
      </c>
      <c r="L10">
        <v>5</v>
      </c>
      <c r="M10">
        <v>2</v>
      </c>
      <c r="N10">
        <f t="shared" si="0"/>
        <v>18</v>
      </c>
      <c r="O10">
        <f t="shared" si="1"/>
        <v>9</v>
      </c>
      <c r="P10">
        <f t="shared" si="2"/>
        <v>15</v>
      </c>
      <c r="Q10">
        <f t="shared" si="3"/>
        <v>12</v>
      </c>
    </row>
    <row r="11" spans="1:17" x14ac:dyDescent="0.15">
      <c r="A11">
        <v>4</v>
      </c>
      <c r="B11" s="1">
        <v>2</v>
      </c>
      <c r="C11" t="s">
        <v>13</v>
      </c>
      <c r="D11">
        <v>3</v>
      </c>
      <c r="E11">
        <v>4</v>
      </c>
      <c r="F11">
        <v>4</v>
      </c>
      <c r="G11">
        <v>5</v>
      </c>
      <c r="H11">
        <v>3</v>
      </c>
      <c r="I11">
        <v>6</v>
      </c>
      <c r="J11">
        <v>6</v>
      </c>
      <c r="K11">
        <v>5</v>
      </c>
      <c r="L11">
        <v>6</v>
      </c>
      <c r="M11">
        <v>4</v>
      </c>
      <c r="N11">
        <f t="shared" si="0"/>
        <v>24</v>
      </c>
      <c r="O11">
        <f t="shared" si="1"/>
        <v>11</v>
      </c>
      <c r="P11">
        <f t="shared" si="2"/>
        <v>20</v>
      </c>
      <c r="Q11">
        <f t="shared" si="3"/>
        <v>15</v>
      </c>
    </row>
    <row r="12" spans="1:17" x14ac:dyDescent="0.15">
      <c r="A12">
        <v>4</v>
      </c>
      <c r="B12" s="1">
        <v>4</v>
      </c>
      <c r="C12" t="s">
        <v>13</v>
      </c>
      <c r="D12">
        <v>4</v>
      </c>
      <c r="E12">
        <v>3</v>
      </c>
      <c r="F12">
        <v>5</v>
      </c>
      <c r="G12">
        <v>4</v>
      </c>
      <c r="H12">
        <v>5</v>
      </c>
      <c r="I12">
        <v>5</v>
      </c>
      <c r="J12">
        <v>5</v>
      </c>
      <c r="K12">
        <v>4</v>
      </c>
      <c r="L12">
        <v>4</v>
      </c>
      <c r="M12">
        <v>3</v>
      </c>
      <c r="N12">
        <f t="shared" si="0"/>
        <v>18</v>
      </c>
      <c r="O12">
        <f t="shared" si="1"/>
        <v>12</v>
      </c>
      <c r="P12">
        <f t="shared" si="2"/>
        <v>19</v>
      </c>
      <c r="Q12">
        <f t="shared" si="3"/>
        <v>11</v>
      </c>
    </row>
    <row r="13" spans="1:17" x14ac:dyDescent="0.15">
      <c r="A13">
        <v>4</v>
      </c>
      <c r="B13" s="1" t="s">
        <v>14</v>
      </c>
      <c r="C13" t="s">
        <v>15</v>
      </c>
      <c r="D13">
        <v>5</v>
      </c>
      <c r="E13">
        <v>5</v>
      </c>
      <c r="F13">
        <v>6</v>
      </c>
      <c r="G13">
        <v>7</v>
      </c>
      <c r="H13">
        <v>2</v>
      </c>
      <c r="I13">
        <v>6</v>
      </c>
      <c r="J13">
        <v>7</v>
      </c>
      <c r="K13">
        <v>7</v>
      </c>
      <c r="L13">
        <v>6</v>
      </c>
      <c r="M13">
        <v>5</v>
      </c>
      <c r="N13">
        <f t="shared" si="0"/>
        <v>24</v>
      </c>
      <c r="O13">
        <f t="shared" si="1"/>
        <v>16</v>
      </c>
      <c r="P13">
        <f t="shared" si="2"/>
        <v>22</v>
      </c>
      <c r="Q13">
        <f t="shared" si="3"/>
        <v>18</v>
      </c>
    </row>
    <row r="14" spans="1:17" x14ac:dyDescent="0.15">
      <c r="A14">
        <v>5</v>
      </c>
      <c r="B14" s="1">
        <v>1</v>
      </c>
      <c r="C14" t="s">
        <v>13</v>
      </c>
      <c r="D14">
        <v>4</v>
      </c>
      <c r="E14">
        <v>3</v>
      </c>
      <c r="F14">
        <v>4</v>
      </c>
      <c r="G14">
        <v>3</v>
      </c>
      <c r="H14">
        <v>3</v>
      </c>
      <c r="I14">
        <v>5</v>
      </c>
      <c r="J14">
        <v>5</v>
      </c>
      <c r="K14">
        <v>6</v>
      </c>
      <c r="L14">
        <v>6</v>
      </c>
      <c r="M14">
        <v>5</v>
      </c>
      <c r="N14">
        <f t="shared" si="0"/>
        <v>22</v>
      </c>
      <c r="O14">
        <f t="shared" si="1"/>
        <v>11</v>
      </c>
      <c r="P14">
        <f t="shared" si="2"/>
        <v>16</v>
      </c>
      <c r="Q14">
        <f t="shared" si="3"/>
        <v>17</v>
      </c>
    </row>
    <row r="15" spans="1:17" x14ac:dyDescent="0.15">
      <c r="A15">
        <v>5</v>
      </c>
      <c r="B15" s="1">
        <v>4</v>
      </c>
      <c r="C15" t="s">
        <v>13</v>
      </c>
      <c r="D15">
        <v>5</v>
      </c>
      <c r="E15">
        <v>5</v>
      </c>
      <c r="F15">
        <v>6</v>
      </c>
      <c r="G15">
        <v>4</v>
      </c>
      <c r="H15">
        <v>3</v>
      </c>
      <c r="I15">
        <v>4</v>
      </c>
      <c r="J15">
        <v>5</v>
      </c>
      <c r="K15">
        <v>6</v>
      </c>
      <c r="L15">
        <v>5</v>
      </c>
      <c r="M15">
        <v>4</v>
      </c>
      <c r="N15">
        <f t="shared" si="0"/>
        <v>15</v>
      </c>
      <c r="O15">
        <f t="shared" si="1"/>
        <v>16</v>
      </c>
      <c r="P15">
        <f t="shared" si="2"/>
        <v>16</v>
      </c>
      <c r="Q15">
        <f t="shared" si="3"/>
        <v>15</v>
      </c>
    </row>
    <row r="16" spans="1:17" x14ac:dyDescent="0.15">
      <c r="A16">
        <v>5</v>
      </c>
      <c r="B16" s="1" t="s">
        <v>14</v>
      </c>
      <c r="C16" t="s">
        <v>15</v>
      </c>
      <c r="D16">
        <v>5</v>
      </c>
      <c r="E16">
        <v>6</v>
      </c>
      <c r="F16">
        <v>4</v>
      </c>
      <c r="G16">
        <v>4</v>
      </c>
      <c r="H16">
        <v>3</v>
      </c>
      <c r="I16">
        <v>5</v>
      </c>
      <c r="J16">
        <v>5</v>
      </c>
      <c r="K16">
        <v>6</v>
      </c>
      <c r="L16">
        <v>7</v>
      </c>
      <c r="M16">
        <v>6</v>
      </c>
      <c r="N16">
        <f t="shared" si="0"/>
        <v>21</v>
      </c>
      <c r="O16">
        <f t="shared" si="1"/>
        <v>15</v>
      </c>
      <c r="P16">
        <f t="shared" si="2"/>
        <v>17</v>
      </c>
      <c r="Q16">
        <f t="shared" si="3"/>
        <v>19</v>
      </c>
    </row>
    <row r="17" spans="1:17" x14ac:dyDescent="0.15">
      <c r="A17">
        <v>6</v>
      </c>
      <c r="B17" s="1">
        <v>2</v>
      </c>
      <c r="C17" t="s">
        <v>13</v>
      </c>
      <c r="D17">
        <v>2</v>
      </c>
      <c r="E17">
        <v>2</v>
      </c>
      <c r="F17">
        <v>2</v>
      </c>
      <c r="G17">
        <v>6</v>
      </c>
      <c r="H17">
        <v>4</v>
      </c>
      <c r="I17">
        <v>5</v>
      </c>
      <c r="J17">
        <v>3</v>
      </c>
      <c r="K17">
        <v>4</v>
      </c>
      <c r="L17">
        <v>5</v>
      </c>
      <c r="M17">
        <v>5</v>
      </c>
      <c r="N17">
        <f t="shared" si="0"/>
        <v>26</v>
      </c>
      <c r="O17">
        <f t="shared" si="1"/>
        <v>6</v>
      </c>
      <c r="P17">
        <f t="shared" si="2"/>
        <v>18</v>
      </c>
      <c r="Q17">
        <f t="shared" si="3"/>
        <v>14</v>
      </c>
    </row>
    <row r="18" spans="1:17" x14ac:dyDescent="0.15">
      <c r="A18">
        <v>6</v>
      </c>
      <c r="B18" s="1" t="s">
        <v>14</v>
      </c>
      <c r="C18" t="s">
        <v>15</v>
      </c>
      <c r="D18">
        <v>2</v>
      </c>
      <c r="E18">
        <v>5</v>
      </c>
      <c r="F18">
        <v>2</v>
      </c>
      <c r="G18">
        <v>5</v>
      </c>
      <c r="H18">
        <v>3</v>
      </c>
      <c r="I18">
        <v>6</v>
      </c>
      <c r="J18">
        <v>4</v>
      </c>
      <c r="K18">
        <v>5</v>
      </c>
      <c r="L18">
        <v>4</v>
      </c>
      <c r="M18">
        <v>4</v>
      </c>
      <c r="N18">
        <f t="shared" si="0"/>
        <v>22</v>
      </c>
      <c r="O18">
        <f t="shared" si="1"/>
        <v>9</v>
      </c>
      <c r="P18">
        <f t="shared" si="2"/>
        <v>18</v>
      </c>
      <c r="Q18">
        <f t="shared" si="3"/>
        <v>13</v>
      </c>
    </row>
    <row r="19" spans="1:17" x14ac:dyDescent="0.15">
      <c r="A19">
        <v>6</v>
      </c>
      <c r="B19" s="1">
        <v>3</v>
      </c>
      <c r="C19" t="s">
        <v>16</v>
      </c>
      <c r="D19">
        <v>1</v>
      </c>
      <c r="E19">
        <v>1</v>
      </c>
      <c r="F19">
        <v>1</v>
      </c>
      <c r="G19">
        <v>6</v>
      </c>
      <c r="H19">
        <v>5</v>
      </c>
      <c r="I19">
        <v>2</v>
      </c>
      <c r="J19">
        <v>1</v>
      </c>
      <c r="K19">
        <v>2</v>
      </c>
      <c r="L19">
        <v>3</v>
      </c>
      <c r="M19">
        <v>4</v>
      </c>
      <c r="N19">
        <f t="shared" si="0"/>
        <v>20</v>
      </c>
      <c r="O19">
        <f t="shared" si="1"/>
        <v>3</v>
      </c>
      <c r="P19">
        <f t="shared" si="2"/>
        <v>14</v>
      </c>
      <c r="Q19">
        <f t="shared" si="3"/>
        <v>9</v>
      </c>
    </row>
    <row r="20" spans="1:17" x14ac:dyDescent="0.15">
      <c r="A20">
        <v>7</v>
      </c>
      <c r="B20" s="1">
        <v>2</v>
      </c>
      <c r="C20" t="s">
        <v>13</v>
      </c>
      <c r="D20">
        <v>6</v>
      </c>
      <c r="E20">
        <v>5</v>
      </c>
      <c r="F20">
        <v>3</v>
      </c>
      <c r="G20">
        <v>5</v>
      </c>
      <c r="H20">
        <v>3</v>
      </c>
      <c r="I20">
        <v>3</v>
      </c>
      <c r="J20">
        <v>4</v>
      </c>
      <c r="K20">
        <v>3</v>
      </c>
      <c r="L20">
        <v>4</v>
      </c>
      <c r="M20">
        <v>4</v>
      </c>
      <c r="N20">
        <f t="shared" si="0"/>
        <v>12</v>
      </c>
      <c r="O20">
        <f t="shared" si="1"/>
        <v>14</v>
      </c>
      <c r="P20">
        <f t="shared" si="2"/>
        <v>15</v>
      </c>
      <c r="Q20">
        <f t="shared" si="3"/>
        <v>11</v>
      </c>
    </row>
    <row r="21" spans="1:17" x14ac:dyDescent="0.15">
      <c r="A21">
        <v>7</v>
      </c>
      <c r="B21" s="1" t="s">
        <v>14</v>
      </c>
      <c r="C21" t="s">
        <v>15</v>
      </c>
      <c r="D21">
        <v>5</v>
      </c>
      <c r="E21">
        <v>6</v>
      </c>
      <c r="F21">
        <v>3</v>
      </c>
      <c r="G21">
        <v>4</v>
      </c>
      <c r="H21">
        <v>2</v>
      </c>
      <c r="I21">
        <v>5</v>
      </c>
      <c r="J21">
        <v>4</v>
      </c>
      <c r="K21">
        <v>4</v>
      </c>
      <c r="L21">
        <v>2</v>
      </c>
      <c r="M21">
        <v>5</v>
      </c>
      <c r="N21">
        <f t="shared" si="0"/>
        <v>12</v>
      </c>
      <c r="O21">
        <f t="shared" si="1"/>
        <v>14</v>
      </c>
      <c r="P21">
        <f t="shared" si="2"/>
        <v>15</v>
      </c>
      <c r="Q21">
        <f t="shared" si="3"/>
        <v>11</v>
      </c>
    </row>
    <row r="22" spans="1:17" x14ac:dyDescent="0.15">
      <c r="A22">
        <v>7</v>
      </c>
      <c r="B22" s="1">
        <v>3</v>
      </c>
      <c r="C22" t="s">
        <v>16</v>
      </c>
      <c r="D22">
        <v>3</v>
      </c>
      <c r="E22">
        <v>3</v>
      </c>
      <c r="F22">
        <v>2</v>
      </c>
      <c r="G22">
        <v>3</v>
      </c>
      <c r="H22">
        <v>5</v>
      </c>
      <c r="I22">
        <v>5</v>
      </c>
      <c r="J22">
        <v>5</v>
      </c>
      <c r="K22">
        <v>3</v>
      </c>
      <c r="L22">
        <v>4</v>
      </c>
      <c r="M22">
        <v>4</v>
      </c>
      <c r="N22">
        <f t="shared" si="0"/>
        <v>21</v>
      </c>
      <c r="O22">
        <f t="shared" si="1"/>
        <v>8</v>
      </c>
      <c r="P22">
        <f t="shared" si="2"/>
        <v>18</v>
      </c>
      <c r="Q22">
        <f t="shared" si="3"/>
        <v>11</v>
      </c>
    </row>
    <row r="23" spans="1:17" x14ac:dyDescent="0.15">
      <c r="A23">
        <v>8</v>
      </c>
      <c r="B23" s="1">
        <v>1</v>
      </c>
      <c r="C23" t="s">
        <v>13</v>
      </c>
      <c r="D23">
        <v>3</v>
      </c>
      <c r="E23">
        <v>3</v>
      </c>
      <c r="F23">
        <v>2</v>
      </c>
      <c r="G23">
        <v>5</v>
      </c>
      <c r="H23">
        <v>3</v>
      </c>
      <c r="I23">
        <v>4</v>
      </c>
      <c r="J23">
        <v>2</v>
      </c>
      <c r="K23">
        <v>3</v>
      </c>
      <c r="L23">
        <v>4</v>
      </c>
      <c r="M23">
        <v>5</v>
      </c>
      <c r="N23">
        <f t="shared" si="0"/>
        <v>18</v>
      </c>
      <c r="O23">
        <f t="shared" si="1"/>
        <v>8</v>
      </c>
      <c r="P23">
        <f t="shared" si="2"/>
        <v>14</v>
      </c>
      <c r="Q23">
        <f t="shared" si="3"/>
        <v>12</v>
      </c>
    </row>
    <row r="24" spans="1:17" x14ac:dyDescent="0.15">
      <c r="A24">
        <v>8</v>
      </c>
      <c r="B24" s="1">
        <v>4</v>
      </c>
      <c r="C24" t="s">
        <v>13</v>
      </c>
      <c r="D24">
        <v>2</v>
      </c>
      <c r="E24">
        <v>3</v>
      </c>
      <c r="F24">
        <v>2</v>
      </c>
      <c r="G24">
        <v>5</v>
      </c>
      <c r="H24">
        <v>5</v>
      </c>
      <c r="I24">
        <v>4</v>
      </c>
      <c r="J24">
        <v>1</v>
      </c>
      <c r="K24">
        <v>2</v>
      </c>
      <c r="L24">
        <v>5</v>
      </c>
      <c r="M24">
        <v>5</v>
      </c>
      <c r="N24">
        <f t="shared" si="0"/>
        <v>20</v>
      </c>
      <c r="O24">
        <f t="shared" si="1"/>
        <v>7</v>
      </c>
      <c r="P24">
        <f t="shared" si="2"/>
        <v>15</v>
      </c>
      <c r="Q24">
        <f t="shared" si="3"/>
        <v>12</v>
      </c>
    </row>
    <row r="25" spans="1:17" x14ac:dyDescent="0.15">
      <c r="A25">
        <v>8</v>
      </c>
      <c r="B25" s="1" t="s">
        <v>14</v>
      </c>
      <c r="C25" t="s">
        <v>15</v>
      </c>
      <c r="D25">
        <v>4</v>
      </c>
      <c r="E25">
        <v>4</v>
      </c>
      <c r="F25">
        <v>2</v>
      </c>
      <c r="G25">
        <v>5</v>
      </c>
      <c r="H25">
        <v>3</v>
      </c>
      <c r="I25">
        <v>4</v>
      </c>
      <c r="J25">
        <v>3</v>
      </c>
      <c r="K25">
        <v>4</v>
      </c>
      <c r="L25">
        <v>3</v>
      </c>
      <c r="M25">
        <v>5</v>
      </c>
      <c r="N25">
        <f t="shared" si="0"/>
        <v>17</v>
      </c>
      <c r="O25">
        <f t="shared" si="1"/>
        <v>10</v>
      </c>
      <c r="P25">
        <f t="shared" si="2"/>
        <v>15</v>
      </c>
      <c r="Q25">
        <f t="shared" si="3"/>
        <v>12</v>
      </c>
    </row>
    <row r="26" spans="1:17" x14ac:dyDescent="0.15">
      <c r="A26">
        <v>9</v>
      </c>
      <c r="B26" s="1">
        <v>1</v>
      </c>
      <c r="C26" t="s">
        <v>13</v>
      </c>
      <c r="D26">
        <v>6</v>
      </c>
      <c r="E26">
        <v>3</v>
      </c>
      <c r="F26">
        <v>4</v>
      </c>
      <c r="G26">
        <v>3</v>
      </c>
      <c r="H26">
        <v>6</v>
      </c>
      <c r="I26">
        <v>5</v>
      </c>
      <c r="J26">
        <v>4</v>
      </c>
      <c r="K26">
        <v>5</v>
      </c>
      <c r="L26">
        <v>5</v>
      </c>
      <c r="M26">
        <v>6</v>
      </c>
      <c r="N26">
        <f t="shared" si="0"/>
        <v>21</v>
      </c>
      <c r="O26">
        <f t="shared" si="1"/>
        <v>13</v>
      </c>
      <c r="P26">
        <f t="shared" si="2"/>
        <v>18</v>
      </c>
      <c r="Q26">
        <f t="shared" si="3"/>
        <v>16</v>
      </c>
    </row>
    <row r="27" spans="1:17" x14ac:dyDescent="0.15">
      <c r="A27">
        <v>9</v>
      </c>
      <c r="B27" s="1">
        <v>4</v>
      </c>
      <c r="C27" t="s">
        <v>13</v>
      </c>
      <c r="D27">
        <v>5</v>
      </c>
      <c r="E27">
        <v>4</v>
      </c>
      <c r="F27">
        <v>3</v>
      </c>
      <c r="G27">
        <v>4</v>
      </c>
      <c r="H27">
        <v>5</v>
      </c>
      <c r="I27">
        <v>4</v>
      </c>
      <c r="J27">
        <v>5</v>
      </c>
      <c r="K27">
        <v>4</v>
      </c>
      <c r="L27">
        <v>4</v>
      </c>
      <c r="M27">
        <v>5</v>
      </c>
      <c r="N27">
        <f t="shared" si="0"/>
        <v>19</v>
      </c>
      <c r="O27">
        <f t="shared" si="1"/>
        <v>12</v>
      </c>
      <c r="P27">
        <f t="shared" si="2"/>
        <v>18</v>
      </c>
      <c r="Q27">
        <f t="shared" si="3"/>
        <v>13</v>
      </c>
    </row>
    <row r="28" spans="1:17" x14ac:dyDescent="0.15">
      <c r="A28">
        <v>9</v>
      </c>
      <c r="B28" s="1" t="s">
        <v>14</v>
      </c>
      <c r="C28" t="s">
        <v>15</v>
      </c>
      <c r="D28">
        <v>4</v>
      </c>
      <c r="E28">
        <v>7</v>
      </c>
      <c r="F28">
        <v>5</v>
      </c>
      <c r="G28">
        <v>6</v>
      </c>
      <c r="H28">
        <v>3</v>
      </c>
      <c r="I28">
        <v>6</v>
      </c>
      <c r="J28">
        <v>6</v>
      </c>
      <c r="K28">
        <v>5</v>
      </c>
      <c r="L28">
        <v>4</v>
      </c>
      <c r="M28">
        <v>3</v>
      </c>
      <c r="N28">
        <f t="shared" si="0"/>
        <v>17</v>
      </c>
      <c r="O28">
        <f t="shared" si="1"/>
        <v>16</v>
      </c>
      <c r="P28">
        <f t="shared" si="2"/>
        <v>21</v>
      </c>
      <c r="Q28">
        <f t="shared" si="3"/>
        <v>12</v>
      </c>
    </row>
    <row r="29" spans="1:17" x14ac:dyDescent="0.15">
      <c r="A29">
        <v>10</v>
      </c>
      <c r="B29" s="1">
        <v>2</v>
      </c>
      <c r="C29" t="s">
        <v>13</v>
      </c>
      <c r="D29">
        <v>2</v>
      </c>
      <c r="E29">
        <v>3</v>
      </c>
      <c r="F29">
        <v>3</v>
      </c>
      <c r="G29">
        <v>3</v>
      </c>
      <c r="H29">
        <v>4</v>
      </c>
      <c r="I29">
        <v>5</v>
      </c>
      <c r="J29">
        <v>5</v>
      </c>
      <c r="K29">
        <v>6</v>
      </c>
      <c r="L29">
        <v>6</v>
      </c>
      <c r="M29">
        <v>4</v>
      </c>
      <c r="N29">
        <f t="shared" si="0"/>
        <v>25</v>
      </c>
      <c r="O29">
        <f t="shared" si="1"/>
        <v>8</v>
      </c>
      <c r="P29">
        <f t="shared" si="2"/>
        <v>17</v>
      </c>
      <c r="Q29">
        <f t="shared" si="3"/>
        <v>16</v>
      </c>
    </row>
    <row r="30" spans="1:17" x14ac:dyDescent="0.15">
      <c r="A30">
        <v>10</v>
      </c>
      <c r="B30" s="1" t="s">
        <v>14</v>
      </c>
      <c r="C30" t="s">
        <v>15</v>
      </c>
      <c r="D30">
        <v>2</v>
      </c>
      <c r="E30">
        <v>4</v>
      </c>
      <c r="F30">
        <v>4</v>
      </c>
      <c r="G30">
        <v>5</v>
      </c>
      <c r="H30">
        <v>5</v>
      </c>
      <c r="I30">
        <v>6</v>
      </c>
      <c r="J30">
        <v>6</v>
      </c>
      <c r="K30">
        <v>7</v>
      </c>
      <c r="L30">
        <v>6</v>
      </c>
      <c r="M30">
        <v>4</v>
      </c>
      <c r="N30">
        <f t="shared" si="0"/>
        <v>29</v>
      </c>
      <c r="O30">
        <f t="shared" si="1"/>
        <v>10</v>
      </c>
      <c r="P30">
        <f t="shared" si="2"/>
        <v>22</v>
      </c>
      <c r="Q30">
        <f t="shared" si="3"/>
        <v>17</v>
      </c>
    </row>
    <row r="31" spans="1:17" x14ac:dyDescent="0.15">
      <c r="A31">
        <v>10</v>
      </c>
      <c r="B31" s="1">
        <v>3</v>
      </c>
      <c r="C31" t="s">
        <v>16</v>
      </c>
      <c r="D31">
        <v>1</v>
      </c>
      <c r="E31">
        <v>2</v>
      </c>
      <c r="F31">
        <v>2</v>
      </c>
      <c r="G31">
        <v>4</v>
      </c>
      <c r="H31">
        <v>5</v>
      </c>
      <c r="I31">
        <v>4</v>
      </c>
      <c r="J31">
        <v>3</v>
      </c>
      <c r="K31">
        <v>4</v>
      </c>
      <c r="L31">
        <v>5</v>
      </c>
      <c r="M31">
        <v>4</v>
      </c>
      <c r="N31">
        <f t="shared" si="0"/>
        <v>24</v>
      </c>
      <c r="O31">
        <f t="shared" si="1"/>
        <v>5</v>
      </c>
      <c r="P31">
        <f t="shared" si="2"/>
        <v>16</v>
      </c>
      <c r="Q31">
        <f t="shared" si="3"/>
        <v>13</v>
      </c>
    </row>
    <row r="32" spans="1:17" x14ac:dyDescent="0.15">
      <c r="A32">
        <v>11</v>
      </c>
      <c r="B32" s="1">
        <v>1</v>
      </c>
      <c r="C32" t="s">
        <v>13</v>
      </c>
      <c r="D32">
        <v>5</v>
      </c>
      <c r="E32">
        <v>5</v>
      </c>
      <c r="F32">
        <v>3</v>
      </c>
      <c r="G32">
        <v>3</v>
      </c>
      <c r="H32">
        <v>4</v>
      </c>
      <c r="I32">
        <v>5</v>
      </c>
      <c r="J32">
        <v>3</v>
      </c>
      <c r="K32">
        <v>5</v>
      </c>
      <c r="L32">
        <v>3</v>
      </c>
      <c r="M32">
        <v>2</v>
      </c>
      <c r="N32">
        <f t="shared" si="0"/>
        <v>12</v>
      </c>
      <c r="O32">
        <f t="shared" si="1"/>
        <v>13</v>
      </c>
      <c r="P32">
        <f t="shared" si="2"/>
        <v>15</v>
      </c>
      <c r="Q32">
        <f t="shared" si="3"/>
        <v>10</v>
      </c>
    </row>
    <row r="33" spans="1:17" x14ac:dyDescent="0.15">
      <c r="A33">
        <v>11</v>
      </c>
      <c r="B33" s="1" t="s">
        <v>14</v>
      </c>
      <c r="C33" t="s">
        <v>15</v>
      </c>
      <c r="D33">
        <v>5</v>
      </c>
      <c r="E33">
        <v>5</v>
      </c>
      <c r="F33">
        <v>4</v>
      </c>
      <c r="G33">
        <v>4</v>
      </c>
      <c r="H33">
        <v>2</v>
      </c>
      <c r="I33">
        <v>4</v>
      </c>
      <c r="J33">
        <v>3</v>
      </c>
      <c r="K33">
        <v>4</v>
      </c>
      <c r="L33">
        <v>3</v>
      </c>
      <c r="M33">
        <v>3</v>
      </c>
      <c r="N33">
        <f t="shared" si="0"/>
        <v>9</v>
      </c>
      <c r="O33">
        <f t="shared" si="1"/>
        <v>14</v>
      </c>
      <c r="P33">
        <f t="shared" si="2"/>
        <v>13</v>
      </c>
      <c r="Q33">
        <f t="shared" si="3"/>
        <v>10</v>
      </c>
    </row>
    <row r="34" spans="1:17" x14ac:dyDescent="0.15">
      <c r="A34">
        <v>11</v>
      </c>
      <c r="B34" s="1">
        <v>3</v>
      </c>
      <c r="C34" t="s">
        <v>16</v>
      </c>
      <c r="D34">
        <v>5</v>
      </c>
      <c r="E34">
        <v>4</v>
      </c>
      <c r="F34">
        <v>3</v>
      </c>
      <c r="G34">
        <v>4</v>
      </c>
      <c r="H34">
        <v>3</v>
      </c>
      <c r="I34">
        <v>5</v>
      </c>
      <c r="J34">
        <v>3</v>
      </c>
      <c r="K34">
        <v>4</v>
      </c>
      <c r="L34">
        <v>3</v>
      </c>
      <c r="M34">
        <v>2</v>
      </c>
      <c r="N34">
        <f t="shared" ref="N34:N65" si="4">SUM(G34:J34)+SUM(K34:M34)-SUM(D34:F34)</f>
        <v>12</v>
      </c>
      <c r="O34">
        <f t="shared" ref="O34:O65" si="5">SUM(D34:F34)</f>
        <v>12</v>
      </c>
      <c r="P34">
        <f t="shared" ref="P34:P65" si="6">SUM(G34:J34)</f>
        <v>15</v>
      </c>
      <c r="Q34">
        <f t="shared" ref="Q34:Q65" si="7">SUM(K34:M34)</f>
        <v>9</v>
      </c>
    </row>
    <row r="35" spans="1:17" x14ac:dyDescent="0.15">
      <c r="A35">
        <v>12</v>
      </c>
      <c r="B35" s="1">
        <v>2</v>
      </c>
      <c r="C35" t="s">
        <v>13</v>
      </c>
      <c r="D35">
        <v>2</v>
      </c>
      <c r="E35">
        <v>1</v>
      </c>
      <c r="F35">
        <v>2</v>
      </c>
      <c r="G35">
        <v>4</v>
      </c>
      <c r="H35">
        <v>5</v>
      </c>
      <c r="I35">
        <v>3</v>
      </c>
      <c r="J35">
        <v>6</v>
      </c>
      <c r="K35">
        <v>4</v>
      </c>
      <c r="L35">
        <v>4</v>
      </c>
      <c r="M35">
        <v>7</v>
      </c>
      <c r="N35">
        <f t="shared" si="4"/>
        <v>28</v>
      </c>
      <c r="O35">
        <f t="shared" si="5"/>
        <v>5</v>
      </c>
      <c r="P35">
        <f t="shared" si="6"/>
        <v>18</v>
      </c>
      <c r="Q35">
        <f t="shared" si="7"/>
        <v>15</v>
      </c>
    </row>
    <row r="36" spans="1:17" x14ac:dyDescent="0.15">
      <c r="A36">
        <v>12</v>
      </c>
      <c r="B36" s="1" t="s">
        <v>14</v>
      </c>
      <c r="C36" t="s">
        <v>15</v>
      </c>
      <c r="D36">
        <v>6</v>
      </c>
      <c r="E36">
        <v>7</v>
      </c>
      <c r="F36">
        <v>5</v>
      </c>
      <c r="G36">
        <v>6</v>
      </c>
      <c r="H36">
        <v>3</v>
      </c>
      <c r="I36">
        <v>4</v>
      </c>
      <c r="J36">
        <v>6</v>
      </c>
      <c r="K36">
        <v>6</v>
      </c>
      <c r="L36">
        <v>4</v>
      </c>
      <c r="M36">
        <v>5</v>
      </c>
      <c r="N36">
        <f t="shared" si="4"/>
        <v>16</v>
      </c>
      <c r="O36">
        <f t="shared" si="5"/>
        <v>18</v>
      </c>
      <c r="P36">
        <f t="shared" si="6"/>
        <v>19</v>
      </c>
      <c r="Q36">
        <f t="shared" si="7"/>
        <v>15</v>
      </c>
    </row>
    <row r="37" spans="1:17" x14ac:dyDescent="0.15">
      <c r="A37">
        <v>12</v>
      </c>
      <c r="B37" s="1">
        <v>3</v>
      </c>
      <c r="C37" t="s">
        <v>16</v>
      </c>
      <c r="D37">
        <v>1</v>
      </c>
      <c r="E37">
        <v>1</v>
      </c>
      <c r="F37">
        <v>2</v>
      </c>
      <c r="G37">
        <v>5</v>
      </c>
      <c r="H37">
        <v>6</v>
      </c>
      <c r="I37">
        <v>5</v>
      </c>
      <c r="J37">
        <v>2</v>
      </c>
      <c r="K37">
        <v>3</v>
      </c>
      <c r="L37">
        <v>5</v>
      </c>
      <c r="M37">
        <v>4</v>
      </c>
      <c r="N37">
        <f t="shared" si="4"/>
        <v>26</v>
      </c>
      <c r="O37">
        <f t="shared" si="5"/>
        <v>4</v>
      </c>
      <c r="P37">
        <f t="shared" si="6"/>
        <v>18</v>
      </c>
      <c r="Q37">
        <f t="shared" si="7"/>
        <v>12</v>
      </c>
    </row>
    <row r="38" spans="1:17" x14ac:dyDescent="0.15">
      <c r="A38" s="3">
        <v>13</v>
      </c>
      <c r="B38" s="4" t="s">
        <v>14</v>
      </c>
      <c r="C38" t="s">
        <v>15</v>
      </c>
      <c r="D38">
        <v>5</v>
      </c>
      <c r="E38">
        <v>4</v>
      </c>
      <c r="F38">
        <v>5</v>
      </c>
      <c r="G38">
        <v>1</v>
      </c>
      <c r="H38">
        <v>1</v>
      </c>
      <c r="I38">
        <v>4</v>
      </c>
      <c r="J38">
        <v>5</v>
      </c>
      <c r="K38">
        <v>4</v>
      </c>
      <c r="L38">
        <v>2</v>
      </c>
      <c r="M38">
        <v>2</v>
      </c>
      <c r="N38">
        <f t="shared" si="4"/>
        <v>5</v>
      </c>
      <c r="O38">
        <f t="shared" si="5"/>
        <v>14</v>
      </c>
      <c r="P38">
        <f t="shared" si="6"/>
        <v>11</v>
      </c>
      <c r="Q38">
        <f t="shared" si="7"/>
        <v>8</v>
      </c>
    </row>
    <row r="39" spans="1:17" x14ac:dyDescent="0.15">
      <c r="A39" s="3">
        <v>13</v>
      </c>
      <c r="B39" s="4">
        <v>3</v>
      </c>
      <c r="C39" t="s">
        <v>16</v>
      </c>
      <c r="D39">
        <v>2</v>
      </c>
      <c r="E39">
        <v>1</v>
      </c>
      <c r="F39">
        <v>2</v>
      </c>
      <c r="G39">
        <v>4</v>
      </c>
      <c r="H39">
        <v>4</v>
      </c>
      <c r="I39">
        <v>2</v>
      </c>
      <c r="J39">
        <v>2</v>
      </c>
      <c r="K39">
        <v>2</v>
      </c>
      <c r="L39">
        <v>3</v>
      </c>
      <c r="M39">
        <v>4</v>
      </c>
      <c r="N39">
        <f t="shared" si="4"/>
        <v>16</v>
      </c>
      <c r="O39">
        <f t="shared" si="5"/>
        <v>5</v>
      </c>
      <c r="P39">
        <f t="shared" si="6"/>
        <v>12</v>
      </c>
      <c r="Q39">
        <f t="shared" si="7"/>
        <v>9</v>
      </c>
    </row>
    <row r="40" spans="1:17" x14ac:dyDescent="0.15">
      <c r="A40" s="3">
        <v>13</v>
      </c>
      <c r="B40" s="4">
        <v>5</v>
      </c>
      <c r="C40" t="s">
        <v>16</v>
      </c>
      <c r="D40">
        <v>1</v>
      </c>
      <c r="E40">
        <v>2</v>
      </c>
      <c r="F40">
        <v>1</v>
      </c>
      <c r="G40">
        <v>2</v>
      </c>
      <c r="H40">
        <v>4</v>
      </c>
      <c r="I40">
        <v>4</v>
      </c>
      <c r="J40">
        <v>1</v>
      </c>
      <c r="K40">
        <v>1</v>
      </c>
      <c r="L40">
        <v>4</v>
      </c>
      <c r="M40">
        <v>3</v>
      </c>
      <c r="N40">
        <f t="shared" si="4"/>
        <v>15</v>
      </c>
      <c r="O40">
        <f t="shared" si="5"/>
        <v>4</v>
      </c>
      <c r="P40">
        <f t="shared" si="6"/>
        <v>11</v>
      </c>
      <c r="Q40">
        <f t="shared" si="7"/>
        <v>8</v>
      </c>
    </row>
    <row r="41" spans="1:17" x14ac:dyDescent="0.15">
      <c r="A41" s="3">
        <v>14</v>
      </c>
      <c r="B41" s="4" t="s">
        <v>14</v>
      </c>
      <c r="C41" t="s">
        <v>15</v>
      </c>
      <c r="D41">
        <v>3</v>
      </c>
      <c r="E41">
        <v>4</v>
      </c>
      <c r="F41">
        <v>5</v>
      </c>
      <c r="G41">
        <v>3</v>
      </c>
      <c r="H41">
        <v>4</v>
      </c>
      <c r="I41">
        <v>5</v>
      </c>
      <c r="J41">
        <v>4</v>
      </c>
      <c r="K41">
        <v>6</v>
      </c>
      <c r="L41">
        <v>4</v>
      </c>
      <c r="M41">
        <v>1</v>
      </c>
      <c r="N41">
        <f t="shared" si="4"/>
        <v>15</v>
      </c>
      <c r="O41">
        <f t="shared" si="5"/>
        <v>12</v>
      </c>
      <c r="P41">
        <f t="shared" si="6"/>
        <v>16</v>
      </c>
      <c r="Q41">
        <f t="shared" si="7"/>
        <v>11</v>
      </c>
    </row>
    <row r="42" spans="1:17" x14ac:dyDescent="0.15">
      <c r="A42" s="3">
        <v>14</v>
      </c>
      <c r="B42" s="4">
        <v>3</v>
      </c>
      <c r="C42" t="s">
        <v>16</v>
      </c>
      <c r="D42">
        <v>1</v>
      </c>
      <c r="E42">
        <v>1</v>
      </c>
      <c r="F42">
        <v>2</v>
      </c>
      <c r="G42">
        <v>2</v>
      </c>
      <c r="H42">
        <v>6</v>
      </c>
      <c r="I42">
        <v>2</v>
      </c>
      <c r="J42">
        <v>3</v>
      </c>
      <c r="K42">
        <v>2</v>
      </c>
      <c r="L42">
        <v>3</v>
      </c>
      <c r="M42">
        <v>3</v>
      </c>
      <c r="N42">
        <f t="shared" si="4"/>
        <v>17</v>
      </c>
      <c r="O42">
        <f t="shared" si="5"/>
        <v>4</v>
      </c>
      <c r="P42">
        <f t="shared" si="6"/>
        <v>13</v>
      </c>
      <c r="Q42">
        <f t="shared" si="7"/>
        <v>8</v>
      </c>
    </row>
    <row r="43" spans="1:17" x14ac:dyDescent="0.15">
      <c r="A43" s="3">
        <v>14</v>
      </c>
      <c r="B43" s="4">
        <v>5</v>
      </c>
      <c r="C43" t="s">
        <v>16</v>
      </c>
      <c r="D43">
        <v>4</v>
      </c>
      <c r="E43">
        <v>3</v>
      </c>
      <c r="F43">
        <v>3</v>
      </c>
      <c r="G43">
        <v>3</v>
      </c>
      <c r="H43">
        <v>5</v>
      </c>
      <c r="I43">
        <v>3</v>
      </c>
      <c r="J43">
        <v>4</v>
      </c>
      <c r="K43">
        <v>3</v>
      </c>
      <c r="L43">
        <v>3</v>
      </c>
      <c r="M43">
        <v>2</v>
      </c>
      <c r="N43">
        <f t="shared" si="4"/>
        <v>13</v>
      </c>
      <c r="O43">
        <f t="shared" si="5"/>
        <v>10</v>
      </c>
      <c r="P43">
        <f t="shared" si="6"/>
        <v>15</v>
      </c>
      <c r="Q43">
        <f t="shared" si="7"/>
        <v>8</v>
      </c>
    </row>
    <row r="44" spans="1:17" x14ac:dyDescent="0.15">
      <c r="A44" s="3">
        <v>15</v>
      </c>
      <c r="B44" s="4" t="s">
        <v>14</v>
      </c>
      <c r="C44" t="s">
        <v>15</v>
      </c>
      <c r="D44">
        <v>3</v>
      </c>
      <c r="E44">
        <v>5</v>
      </c>
      <c r="F44">
        <v>5</v>
      </c>
      <c r="G44">
        <v>2</v>
      </c>
      <c r="H44">
        <v>3</v>
      </c>
      <c r="I44">
        <v>4</v>
      </c>
      <c r="J44">
        <v>2</v>
      </c>
      <c r="K44">
        <v>3</v>
      </c>
      <c r="L44">
        <v>3</v>
      </c>
      <c r="M44">
        <v>2</v>
      </c>
      <c r="N44">
        <f t="shared" si="4"/>
        <v>6</v>
      </c>
      <c r="O44">
        <f t="shared" si="5"/>
        <v>13</v>
      </c>
      <c r="P44">
        <f t="shared" si="6"/>
        <v>11</v>
      </c>
      <c r="Q44">
        <f t="shared" si="7"/>
        <v>8</v>
      </c>
    </row>
    <row r="45" spans="1:17" x14ac:dyDescent="0.15">
      <c r="A45" s="3">
        <v>15</v>
      </c>
      <c r="B45" s="4">
        <v>3</v>
      </c>
      <c r="C45" t="s">
        <v>16</v>
      </c>
      <c r="D45">
        <v>2</v>
      </c>
      <c r="E45">
        <v>2</v>
      </c>
      <c r="F45">
        <v>2</v>
      </c>
      <c r="G45">
        <v>3</v>
      </c>
      <c r="H45">
        <v>4</v>
      </c>
      <c r="I45">
        <v>5</v>
      </c>
      <c r="J45">
        <v>4</v>
      </c>
      <c r="K45">
        <v>4</v>
      </c>
      <c r="L45">
        <v>5</v>
      </c>
      <c r="M45">
        <v>5</v>
      </c>
      <c r="N45">
        <f t="shared" si="4"/>
        <v>24</v>
      </c>
      <c r="O45">
        <f t="shared" si="5"/>
        <v>6</v>
      </c>
      <c r="P45">
        <f t="shared" si="6"/>
        <v>16</v>
      </c>
      <c r="Q45">
        <f t="shared" si="7"/>
        <v>14</v>
      </c>
    </row>
    <row r="46" spans="1:17" x14ac:dyDescent="0.15">
      <c r="A46" s="3">
        <v>15</v>
      </c>
      <c r="B46" s="4">
        <v>5</v>
      </c>
      <c r="C46" t="s">
        <v>16</v>
      </c>
      <c r="D46">
        <v>3</v>
      </c>
      <c r="E46">
        <v>2</v>
      </c>
      <c r="F46">
        <v>1</v>
      </c>
      <c r="G46">
        <v>3</v>
      </c>
      <c r="H46">
        <v>5</v>
      </c>
      <c r="I46">
        <v>3</v>
      </c>
      <c r="J46">
        <v>2</v>
      </c>
      <c r="K46">
        <v>3</v>
      </c>
      <c r="L46">
        <v>5</v>
      </c>
      <c r="M46">
        <v>7</v>
      </c>
      <c r="N46">
        <f t="shared" si="4"/>
        <v>22</v>
      </c>
      <c r="O46">
        <f t="shared" si="5"/>
        <v>6</v>
      </c>
      <c r="P46">
        <f t="shared" si="6"/>
        <v>13</v>
      </c>
      <c r="Q46">
        <f t="shared" si="7"/>
        <v>15</v>
      </c>
    </row>
    <row r="47" spans="1:17" x14ac:dyDescent="0.15">
      <c r="A47" s="3">
        <v>16</v>
      </c>
      <c r="B47" s="4" t="s">
        <v>14</v>
      </c>
      <c r="C47" t="s">
        <v>15</v>
      </c>
      <c r="D47">
        <v>3</v>
      </c>
      <c r="E47">
        <v>5</v>
      </c>
      <c r="F47">
        <v>3</v>
      </c>
      <c r="G47">
        <v>2</v>
      </c>
      <c r="H47">
        <v>5</v>
      </c>
      <c r="I47">
        <v>7</v>
      </c>
      <c r="J47">
        <v>5</v>
      </c>
      <c r="K47">
        <v>6</v>
      </c>
      <c r="L47">
        <v>6</v>
      </c>
      <c r="M47">
        <v>3</v>
      </c>
      <c r="N47">
        <f t="shared" si="4"/>
        <v>23</v>
      </c>
      <c r="O47">
        <f t="shared" si="5"/>
        <v>11</v>
      </c>
      <c r="P47">
        <f t="shared" si="6"/>
        <v>19</v>
      </c>
      <c r="Q47">
        <f t="shared" si="7"/>
        <v>15</v>
      </c>
    </row>
    <row r="48" spans="1:17" x14ac:dyDescent="0.15">
      <c r="A48" s="3">
        <v>16</v>
      </c>
      <c r="B48" s="4">
        <v>3</v>
      </c>
      <c r="C48" t="s">
        <v>16</v>
      </c>
      <c r="D48">
        <v>2</v>
      </c>
      <c r="E48">
        <v>2</v>
      </c>
      <c r="F48">
        <v>3</v>
      </c>
      <c r="G48">
        <v>4</v>
      </c>
      <c r="H48">
        <v>4</v>
      </c>
      <c r="I48">
        <v>6</v>
      </c>
      <c r="J48">
        <v>4</v>
      </c>
      <c r="K48">
        <v>5</v>
      </c>
      <c r="L48">
        <v>7</v>
      </c>
      <c r="M48">
        <v>3</v>
      </c>
      <c r="N48">
        <f t="shared" si="4"/>
        <v>26</v>
      </c>
      <c r="O48">
        <f t="shared" si="5"/>
        <v>7</v>
      </c>
      <c r="P48">
        <f t="shared" si="6"/>
        <v>18</v>
      </c>
      <c r="Q48">
        <f t="shared" si="7"/>
        <v>15</v>
      </c>
    </row>
    <row r="49" spans="1:17" x14ac:dyDescent="0.15">
      <c r="A49" s="3">
        <v>16</v>
      </c>
      <c r="B49" s="4">
        <v>5</v>
      </c>
      <c r="C49" t="s">
        <v>16</v>
      </c>
      <c r="D49">
        <v>2</v>
      </c>
      <c r="E49">
        <v>2</v>
      </c>
      <c r="F49">
        <v>3</v>
      </c>
      <c r="G49">
        <v>3</v>
      </c>
      <c r="H49">
        <v>4</v>
      </c>
      <c r="I49">
        <v>6</v>
      </c>
      <c r="J49">
        <v>5</v>
      </c>
      <c r="K49">
        <v>6</v>
      </c>
      <c r="L49">
        <v>7</v>
      </c>
      <c r="M49">
        <v>3</v>
      </c>
      <c r="N49">
        <f t="shared" si="4"/>
        <v>27</v>
      </c>
      <c r="O49">
        <f t="shared" si="5"/>
        <v>7</v>
      </c>
      <c r="P49">
        <f t="shared" si="6"/>
        <v>18</v>
      </c>
      <c r="Q49">
        <f t="shared" si="7"/>
        <v>16</v>
      </c>
    </row>
    <row r="50" spans="1:17" x14ac:dyDescent="0.15">
      <c r="A50" s="3">
        <v>17</v>
      </c>
      <c r="B50" s="4">
        <v>4</v>
      </c>
      <c r="C50" t="s">
        <v>13</v>
      </c>
      <c r="D50">
        <v>4</v>
      </c>
      <c r="E50">
        <v>3</v>
      </c>
      <c r="F50">
        <v>2</v>
      </c>
      <c r="G50">
        <v>5</v>
      </c>
      <c r="H50">
        <v>4</v>
      </c>
      <c r="I50">
        <v>4</v>
      </c>
      <c r="J50">
        <v>5</v>
      </c>
      <c r="K50">
        <v>5</v>
      </c>
      <c r="L50">
        <v>4</v>
      </c>
      <c r="M50">
        <v>5</v>
      </c>
      <c r="N50">
        <f t="shared" si="4"/>
        <v>23</v>
      </c>
      <c r="O50">
        <f t="shared" si="5"/>
        <v>9</v>
      </c>
      <c r="P50">
        <f t="shared" si="6"/>
        <v>18</v>
      </c>
      <c r="Q50">
        <f t="shared" si="7"/>
        <v>14</v>
      </c>
    </row>
    <row r="51" spans="1:17" x14ac:dyDescent="0.15">
      <c r="A51" s="3">
        <v>17</v>
      </c>
      <c r="B51" s="4" t="s">
        <v>14</v>
      </c>
      <c r="C51" t="s">
        <v>15</v>
      </c>
      <c r="D51">
        <v>5</v>
      </c>
      <c r="E51">
        <v>4</v>
      </c>
      <c r="F51">
        <v>3</v>
      </c>
      <c r="G51">
        <v>4</v>
      </c>
      <c r="H51">
        <v>3</v>
      </c>
      <c r="I51">
        <v>4</v>
      </c>
      <c r="J51">
        <v>6</v>
      </c>
      <c r="K51">
        <v>6</v>
      </c>
      <c r="L51">
        <v>4</v>
      </c>
      <c r="M51">
        <v>5</v>
      </c>
      <c r="N51">
        <f t="shared" si="4"/>
        <v>20</v>
      </c>
      <c r="O51">
        <f t="shared" si="5"/>
        <v>12</v>
      </c>
      <c r="P51">
        <f t="shared" si="6"/>
        <v>17</v>
      </c>
      <c r="Q51">
        <f t="shared" si="7"/>
        <v>15</v>
      </c>
    </row>
    <row r="52" spans="1:17" x14ac:dyDescent="0.15">
      <c r="A52" s="3">
        <v>17</v>
      </c>
      <c r="B52" s="4">
        <v>5</v>
      </c>
      <c r="C52" t="s">
        <v>16</v>
      </c>
      <c r="D52">
        <v>2</v>
      </c>
      <c r="E52">
        <v>2</v>
      </c>
      <c r="F52">
        <v>2</v>
      </c>
      <c r="G52">
        <v>3</v>
      </c>
      <c r="H52">
        <v>5</v>
      </c>
      <c r="I52">
        <v>3</v>
      </c>
      <c r="J52">
        <v>4</v>
      </c>
      <c r="K52">
        <v>3</v>
      </c>
      <c r="L52">
        <v>6</v>
      </c>
      <c r="M52">
        <v>6</v>
      </c>
      <c r="N52">
        <f t="shared" si="4"/>
        <v>24</v>
      </c>
      <c r="O52">
        <f t="shared" si="5"/>
        <v>6</v>
      </c>
      <c r="P52">
        <f t="shared" si="6"/>
        <v>15</v>
      </c>
      <c r="Q52">
        <f t="shared" si="7"/>
        <v>15</v>
      </c>
    </row>
    <row r="53" spans="1:17" x14ac:dyDescent="0.15">
      <c r="A53" s="3">
        <v>18</v>
      </c>
      <c r="B53" s="4" t="s">
        <v>14</v>
      </c>
      <c r="C53" t="s">
        <v>15</v>
      </c>
      <c r="D53">
        <v>6</v>
      </c>
      <c r="E53">
        <v>6</v>
      </c>
      <c r="F53">
        <v>5</v>
      </c>
      <c r="G53">
        <v>6</v>
      </c>
      <c r="H53">
        <v>1</v>
      </c>
      <c r="I53">
        <v>5</v>
      </c>
      <c r="J53">
        <v>6</v>
      </c>
      <c r="K53">
        <v>6</v>
      </c>
      <c r="L53">
        <v>5</v>
      </c>
      <c r="M53">
        <v>2</v>
      </c>
      <c r="N53">
        <f t="shared" si="4"/>
        <v>14</v>
      </c>
      <c r="O53">
        <f t="shared" si="5"/>
        <v>17</v>
      </c>
      <c r="P53">
        <f t="shared" si="6"/>
        <v>18</v>
      </c>
      <c r="Q53">
        <f t="shared" si="7"/>
        <v>13</v>
      </c>
    </row>
    <row r="54" spans="1:17" x14ac:dyDescent="0.15">
      <c r="A54" s="3">
        <v>18</v>
      </c>
      <c r="B54" s="4">
        <v>3</v>
      </c>
      <c r="C54" t="s">
        <v>16</v>
      </c>
      <c r="D54">
        <v>2</v>
      </c>
      <c r="E54">
        <v>1</v>
      </c>
      <c r="F54">
        <v>3</v>
      </c>
      <c r="G54">
        <v>3</v>
      </c>
      <c r="H54">
        <v>4</v>
      </c>
      <c r="I54">
        <v>2</v>
      </c>
      <c r="J54">
        <v>3</v>
      </c>
      <c r="K54">
        <v>2</v>
      </c>
      <c r="L54">
        <v>5</v>
      </c>
      <c r="M54">
        <v>6</v>
      </c>
      <c r="N54">
        <f t="shared" si="4"/>
        <v>19</v>
      </c>
      <c r="O54">
        <f t="shared" si="5"/>
        <v>6</v>
      </c>
      <c r="P54">
        <f t="shared" si="6"/>
        <v>12</v>
      </c>
      <c r="Q54">
        <f t="shared" si="7"/>
        <v>13</v>
      </c>
    </row>
    <row r="55" spans="1:17" x14ac:dyDescent="0.15">
      <c r="A55" s="3">
        <v>18</v>
      </c>
      <c r="B55" s="4">
        <v>5</v>
      </c>
      <c r="C55" t="s">
        <v>16</v>
      </c>
      <c r="D55">
        <v>3</v>
      </c>
      <c r="E55">
        <v>2</v>
      </c>
      <c r="F55">
        <v>3</v>
      </c>
      <c r="G55">
        <v>3</v>
      </c>
      <c r="H55">
        <v>5</v>
      </c>
      <c r="I55">
        <v>3</v>
      </c>
      <c r="J55">
        <v>3</v>
      </c>
      <c r="K55">
        <v>3</v>
      </c>
      <c r="L55">
        <v>4</v>
      </c>
      <c r="M55">
        <v>6</v>
      </c>
      <c r="N55">
        <f t="shared" si="4"/>
        <v>19</v>
      </c>
      <c r="O55">
        <f t="shared" si="5"/>
        <v>8</v>
      </c>
      <c r="P55">
        <f t="shared" si="6"/>
        <v>14</v>
      </c>
      <c r="Q55">
        <f t="shared" si="7"/>
        <v>13</v>
      </c>
    </row>
    <row r="56" spans="1:17" x14ac:dyDescent="0.15">
      <c r="A56">
        <v>19</v>
      </c>
      <c r="B56" s="1" t="s">
        <v>14</v>
      </c>
      <c r="C56" t="s">
        <v>15</v>
      </c>
      <c r="D56">
        <v>5</v>
      </c>
      <c r="E56">
        <v>4</v>
      </c>
      <c r="F56">
        <v>5</v>
      </c>
      <c r="G56">
        <v>4</v>
      </c>
      <c r="H56">
        <v>2</v>
      </c>
      <c r="I56">
        <v>6</v>
      </c>
      <c r="J56">
        <v>5</v>
      </c>
      <c r="K56">
        <v>7</v>
      </c>
      <c r="L56">
        <v>4</v>
      </c>
      <c r="M56">
        <v>2</v>
      </c>
      <c r="N56">
        <f t="shared" si="4"/>
        <v>16</v>
      </c>
      <c r="O56">
        <f t="shared" si="5"/>
        <v>14</v>
      </c>
      <c r="P56">
        <f t="shared" si="6"/>
        <v>17</v>
      </c>
      <c r="Q56">
        <f t="shared" si="7"/>
        <v>13</v>
      </c>
    </row>
    <row r="57" spans="1:17" x14ac:dyDescent="0.15">
      <c r="A57">
        <v>19</v>
      </c>
      <c r="B57" s="4">
        <v>3</v>
      </c>
      <c r="C57" t="s">
        <v>16</v>
      </c>
      <c r="D57">
        <v>2</v>
      </c>
      <c r="E57">
        <v>3</v>
      </c>
      <c r="F57">
        <v>1</v>
      </c>
      <c r="G57">
        <v>3</v>
      </c>
      <c r="H57">
        <v>5</v>
      </c>
      <c r="I57">
        <v>4</v>
      </c>
      <c r="J57">
        <v>3</v>
      </c>
      <c r="K57">
        <v>3</v>
      </c>
      <c r="L57">
        <v>4</v>
      </c>
      <c r="M57">
        <v>3</v>
      </c>
      <c r="N57">
        <f t="shared" si="4"/>
        <v>19</v>
      </c>
      <c r="O57">
        <f t="shared" si="5"/>
        <v>6</v>
      </c>
      <c r="P57">
        <f t="shared" si="6"/>
        <v>15</v>
      </c>
      <c r="Q57">
        <f t="shared" si="7"/>
        <v>10</v>
      </c>
    </row>
    <row r="58" spans="1:17" x14ac:dyDescent="0.15">
      <c r="A58">
        <v>19</v>
      </c>
      <c r="B58" s="4">
        <v>5</v>
      </c>
      <c r="C58" t="s">
        <v>16</v>
      </c>
      <c r="D58">
        <v>4</v>
      </c>
      <c r="E58">
        <v>3</v>
      </c>
      <c r="F58">
        <v>4</v>
      </c>
      <c r="G58">
        <v>4</v>
      </c>
      <c r="H58">
        <v>3</v>
      </c>
      <c r="I58">
        <v>5</v>
      </c>
      <c r="J58">
        <v>4</v>
      </c>
      <c r="K58">
        <v>6</v>
      </c>
      <c r="L58">
        <v>4</v>
      </c>
      <c r="M58">
        <v>3</v>
      </c>
      <c r="N58">
        <f t="shared" si="4"/>
        <v>18</v>
      </c>
      <c r="O58">
        <f t="shared" si="5"/>
        <v>11</v>
      </c>
      <c r="P58">
        <f t="shared" si="6"/>
        <v>16</v>
      </c>
      <c r="Q58">
        <f t="shared" si="7"/>
        <v>13</v>
      </c>
    </row>
    <row r="59" spans="1:17" x14ac:dyDescent="0.15">
      <c r="A59">
        <v>20</v>
      </c>
      <c r="B59" s="1">
        <v>4</v>
      </c>
      <c r="C59" t="s">
        <v>13</v>
      </c>
      <c r="D59">
        <v>3</v>
      </c>
      <c r="E59">
        <v>4</v>
      </c>
      <c r="F59">
        <v>4</v>
      </c>
      <c r="G59">
        <v>4</v>
      </c>
      <c r="H59">
        <v>3</v>
      </c>
      <c r="I59">
        <v>3</v>
      </c>
      <c r="J59">
        <v>4</v>
      </c>
      <c r="K59">
        <v>4</v>
      </c>
      <c r="L59">
        <v>3</v>
      </c>
      <c r="M59">
        <v>2</v>
      </c>
      <c r="N59">
        <f t="shared" si="4"/>
        <v>12</v>
      </c>
      <c r="O59">
        <f t="shared" si="5"/>
        <v>11</v>
      </c>
      <c r="P59">
        <f t="shared" si="6"/>
        <v>14</v>
      </c>
      <c r="Q59">
        <f t="shared" si="7"/>
        <v>9</v>
      </c>
    </row>
    <row r="60" spans="1:17" x14ac:dyDescent="0.15">
      <c r="A60">
        <v>20</v>
      </c>
      <c r="B60" s="1" t="s">
        <v>17</v>
      </c>
      <c r="C60" t="s">
        <v>15</v>
      </c>
      <c r="D60">
        <v>4</v>
      </c>
      <c r="E60">
        <v>5</v>
      </c>
      <c r="F60">
        <v>5</v>
      </c>
      <c r="G60">
        <v>2</v>
      </c>
      <c r="H60">
        <v>2</v>
      </c>
      <c r="I60">
        <v>4</v>
      </c>
      <c r="J60">
        <v>5</v>
      </c>
      <c r="K60">
        <v>4</v>
      </c>
      <c r="L60">
        <v>2</v>
      </c>
      <c r="M60">
        <v>4</v>
      </c>
      <c r="N60">
        <f t="shared" si="4"/>
        <v>9</v>
      </c>
      <c r="O60">
        <f t="shared" si="5"/>
        <v>14</v>
      </c>
      <c r="P60">
        <f t="shared" si="6"/>
        <v>13</v>
      </c>
      <c r="Q60">
        <f t="shared" si="7"/>
        <v>10</v>
      </c>
    </row>
    <row r="61" spans="1:17" x14ac:dyDescent="0.15">
      <c r="A61">
        <v>20</v>
      </c>
      <c r="B61" s="1" t="s">
        <v>18</v>
      </c>
      <c r="C61" t="s">
        <v>15</v>
      </c>
      <c r="D61">
        <v>4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3</v>
      </c>
      <c r="M61">
        <v>5</v>
      </c>
      <c r="N61">
        <f t="shared" si="4"/>
        <v>19</v>
      </c>
      <c r="O61">
        <f t="shared" si="5"/>
        <v>14</v>
      </c>
      <c r="P61">
        <f t="shared" si="6"/>
        <v>20</v>
      </c>
      <c r="Q61">
        <f t="shared" si="7"/>
        <v>13</v>
      </c>
    </row>
    <row r="62" spans="1:17" x14ac:dyDescent="0.15">
      <c r="A62">
        <v>20</v>
      </c>
      <c r="B62" s="4">
        <v>3</v>
      </c>
      <c r="C62" t="s">
        <v>16</v>
      </c>
      <c r="D62">
        <v>1</v>
      </c>
      <c r="E62">
        <v>1</v>
      </c>
      <c r="F62">
        <v>1</v>
      </c>
      <c r="G62">
        <v>4</v>
      </c>
      <c r="H62">
        <v>5</v>
      </c>
      <c r="I62">
        <v>2</v>
      </c>
      <c r="J62">
        <v>2</v>
      </c>
      <c r="K62">
        <v>1</v>
      </c>
      <c r="L62">
        <v>5</v>
      </c>
      <c r="M62">
        <v>4</v>
      </c>
      <c r="N62">
        <f t="shared" si="4"/>
        <v>20</v>
      </c>
      <c r="O62">
        <f t="shared" si="5"/>
        <v>3</v>
      </c>
      <c r="P62">
        <f t="shared" si="6"/>
        <v>13</v>
      </c>
      <c r="Q62">
        <f t="shared" si="7"/>
        <v>10</v>
      </c>
    </row>
    <row r="63" spans="1:17" x14ac:dyDescent="0.15">
      <c r="A63">
        <v>21</v>
      </c>
      <c r="B63" s="1">
        <v>4</v>
      </c>
      <c r="C63" t="s">
        <v>13</v>
      </c>
      <c r="D63">
        <v>2</v>
      </c>
      <c r="E63">
        <v>3</v>
      </c>
      <c r="F63">
        <v>2</v>
      </c>
      <c r="G63">
        <v>6</v>
      </c>
      <c r="H63">
        <v>5</v>
      </c>
      <c r="I63">
        <v>6</v>
      </c>
      <c r="J63">
        <v>5</v>
      </c>
      <c r="K63">
        <v>4</v>
      </c>
      <c r="L63">
        <v>4</v>
      </c>
      <c r="M63">
        <v>6</v>
      </c>
      <c r="N63">
        <f t="shared" si="4"/>
        <v>29</v>
      </c>
      <c r="O63">
        <f t="shared" si="5"/>
        <v>7</v>
      </c>
      <c r="P63">
        <f t="shared" si="6"/>
        <v>22</v>
      </c>
      <c r="Q63">
        <f t="shared" si="7"/>
        <v>14</v>
      </c>
    </row>
    <row r="64" spans="1:17" x14ac:dyDescent="0.15">
      <c r="A64">
        <v>21</v>
      </c>
      <c r="B64" s="1" t="s">
        <v>14</v>
      </c>
      <c r="C64" t="s">
        <v>15</v>
      </c>
      <c r="D64">
        <v>3</v>
      </c>
      <c r="E64">
        <v>5</v>
      </c>
      <c r="F64">
        <v>3</v>
      </c>
      <c r="G64">
        <v>3</v>
      </c>
      <c r="H64">
        <v>4</v>
      </c>
      <c r="I64">
        <v>4</v>
      </c>
      <c r="J64">
        <v>5</v>
      </c>
      <c r="K64">
        <v>5</v>
      </c>
      <c r="L64">
        <v>4</v>
      </c>
      <c r="M64">
        <v>3</v>
      </c>
      <c r="N64">
        <f t="shared" si="4"/>
        <v>17</v>
      </c>
      <c r="O64">
        <f t="shared" si="5"/>
        <v>11</v>
      </c>
      <c r="P64">
        <f t="shared" si="6"/>
        <v>16</v>
      </c>
      <c r="Q64">
        <f t="shared" si="7"/>
        <v>12</v>
      </c>
    </row>
    <row r="65" spans="1:17" x14ac:dyDescent="0.15">
      <c r="A65">
        <v>21</v>
      </c>
      <c r="B65" s="1">
        <v>3</v>
      </c>
      <c r="C65" t="s">
        <v>16</v>
      </c>
      <c r="D65">
        <v>2</v>
      </c>
      <c r="E65">
        <v>3</v>
      </c>
      <c r="F65">
        <v>1</v>
      </c>
      <c r="G65">
        <v>7</v>
      </c>
      <c r="H65">
        <v>6</v>
      </c>
      <c r="I65">
        <v>6</v>
      </c>
      <c r="J65">
        <v>5</v>
      </c>
      <c r="K65">
        <v>2</v>
      </c>
      <c r="L65">
        <v>5</v>
      </c>
      <c r="M65">
        <v>6</v>
      </c>
      <c r="N65">
        <f t="shared" si="4"/>
        <v>31</v>
      </c>
      <c r="O65">
        <f t="shared" si="5"/>
        <v>6</v>
      </c>
      <c r="P65">
        <f t="shared" si="6"/>
        <v>24</v>
      </c>
      <c r="Q65">
        <f t="shared" si="7"/>
        <v>13</v>
      </c>
    </row>
    <row r="66" spans="1:17" x14ac:dyDescent="0.15">
      <c r="A66">
        <v>21</v>
      </c>
      <c r="B66" s="1">
        <v>5</v>
      </c>
      <c r="C66" t="s">
        <v>16</v>
      </c>
      <c r="D66">
        <v>2</v>
      </c>
      <c r="E66">
        <v>3</v>
      </c>
      <c r="F66">
        <v>2</v>
      </c>
      <c r="G66">
        <v>6</v>
      </c>
      <c r="H66">
        <v>4</v>
      </c>
      <c r="I66">
        <v>6</v>
      </c>
      <c r="J66">
        <v>5</v>
      </c>
      <c r="K66">
        <v>3</v>
      </c>
      <c r="L66">
        <v>4</v>
      </c>
      <c r="M66">
        <v>5</v>
      </c>
      <c r="N66">
        <f t="shared" ref="N66:N97" si="8">SUM(G66:J66)+SUM(K66:M66)-SUM(D66:F66)</f>
        <v>26</v>
      </c>
      <c r="O66">
        <f t="shared" ref="O66:O83" si="9">SUM(D66:F66)</f>
        <v>7</v>
      </c>
      <c r="P66">
        <f t="shared" ref="P66:P83" si="10">SUM(G66:J66)</f>
        <v>21</v>
      </c>
      <c r="Q66">
        <f t="shared" ref="Q66:Q83" si="11">SUM(K66:M66)</f>
        <v>12</v>
      </c>
    </row>
    <row r="67" spans="1:17" x14ac:dyDescent="0.15">
      <c r="A67">
        <v>22</v>
      </c>
      <c r="B67" s="1">
        <v>4</v>
      </c>
      <c r="C67" t="s">
        <v>13</v>
      </c>
      <c r="D67">
        <v>5</v>
      </c>
      <c r="E67">
        <v>5</v>
      </c>
      <c r="F67">
        <v>4</v>
      </c>
      <c r="G67">
        <v>4</v>
      </c>
      <c r="H67">
        <v>4</v>
      </c>
      <c r="I67">
        <v>6</v>
      </c>
      <c r="J67">
        <v>5</v>
      </c>
      <c r="K67">
        <v>6</v>
      </c>
      <c r="L67">
        <v>4</v>
      </c>
      <c r="M67">
        <v>5</v>
      </c>
      <c r="N67">
        <f t="shared" si="8"/>
        <v>20</v>
      </c>
      <c r="O67">
        <f t="shared" si="9"/>
        <v>14</v>
      </c>
      <c r="P67">
        <f t="shared" si="10"/>
        <v>19</v>
      </c>
      <c r="Q67">
        <f t="shared" si="11"/>
        <v>15</v>
      </c>
    </row>
    <row r="68" spans="1:17" x14ac:dyDescent="0.15">
      <c r="A68">
        <v>22</v>
      </c>
      <c r="B68" s="4" t="s">
        <v>14</v>
      </c>
      <c r="C68" t="s">
        <v>15</v>
      </c>
      <c r="D68">
        <v>6</v>
      </c>
      <c r="E68">
        <v>6</v>
      </c>
      <c r="F68">
        <v>5</v>
      </c>
      <c r="G68">
        <v>4</v>
      </c>
      <c r="H68">
        <v>3</v>
      </c>
      <c r="I68">
        <v>7</v>
      </c>
      <c r="J68">
        <v>6</v>
      </c>
      <c r="K68">
        <v>6</v>
      </c>
      <c r="L68">
        <v>6</v>
      </c>
      <c r="M68">
        <v>4</v>
      </c>
      <c r="N68">
        <f t="shared" si="8"/>
        <v>19</v>
      </c>
      <c r="O68">
        <f t="shared" si="9"/>
        <v>17</v>
      </c>
      <c r="P68">
        <f t="shared" si="10"/>
        <v>20</v>
      </c>
      <c r="Q68">
        <f t="shared" si="11"/>
        <v>16</v>
      </c>
    </row>
    <row r="69" spans="1:17" x14ac:dyDescent="0.15">
      <c r="A69">
        <v>22</v>
      </c>
      <c r="B69" s="1">
        <v>3</v>
      </c>
      <c r="C69" t="s">
        <v>16</v>
      </c>
      <c r="D69">
        <v>2</v>
      </c>
      <c r="E69">
        <v>2</v>
      </c>
      <c r="F69">
        <v>2</v>
      </c>
      <c r="G69">
        <v>4</v>
      </c>
      <c r="H69">
        <v>5</v>
      </c>
      <c r="I69">
        <v>6</v>
      </c>
      <c r="J69">
        <v>3</v>
      </c>
      <c r="K69">
        <v>2</v>
      </c>
      <c r="L69">
        <v>5</v>
      </c>
      <c r="M69">
        <v>6</v>
      </c>
      <c r="N69">
        <f t="shared" si="8"/>
        <v>25</v>
      </c>
      <c r="O69">
        <f t="shared" si="9"/>
        <v>6</v>
      </c>
      <c r="P69">
        <f t="shared" si="10"/>
        <v>18</v>
      </c>
      <c r="Q69">
        <f t="shared" si="11"/>
        <v>13</v>
      </c>
    </row>
    <row r="70" spans="1:17" x14ac:dyDescent="0.15">
      <c r="A70">
        <v>22</v>
      </c>
      <c r="B70" s="1">
        <v>5</v>
      </c>
      <c r="C70" t="s">
        <v>16</v>
      </c>
      <c r="D70">
        <v>3</v>
      </c>
      <c r="E70">
        <v>3</v>
      </c>
      <c r="F70">
        <v>3</v>
      </c>
      <c r="G70">
        <v>5</v>
      </c>
      <c r="H70">
        <v>5</v>
      </c>
      <c r="I70">
        <v>5</v>
      </c>
      <c r="J70">
        <v>4</v>
      </c>
      <c r="K70">
        <v>3</v>
      </c>
      <c r="L70">
        <v>5</v>
      </c>
      <c r="M70">
        <v>4</v>
      </c>
      <c r="N70">
        <f t="shared" si="8"/>
        <v>22</v>
      </c>
      <c r="O70">
        <f t="shared" si="9"/>
        <v>9</v>
      </c>
      <c r="P70">
        <f t="shared" si="10"/>
        <v>19</v>
      </c>
      <c r="Q70">
        <f t="shared" si="11"/>
        <v>12</v>
      </c>
    </row>
    <row r="71" spans="1:17" x14ac:dyDescent="0.15">
      <c r="A71">
        <v>23</v>
      </c>
      <c r="B71" s="4" t="s">
        <v>14</v>
      </c>
      <c r="C71" t="s">
        <v>15</v>
      </c>
      <c r="D71">
        <v>4</v>
      </c>
      <c r="E71">
        <v>5</v>
      </c>
      <c r="F71">
        <v>4</v>
      </c>
      <c r="G71">
        <v>5</v>
      </c>
      <c r="H71">
        <v>3</v>
      </c>
      <c r="I71">
        <v>6</v>
      </c>
      <c r="J71">
        <v>7</v>
      </c>
      <c r="K71">
        <v>5</v>
      </c>
      <c r="L71">
        <v>3</v>
      </c>
      <c r="M71">
        <v>4</v>
      </c>
      <c r="N71">
        <f t="shared" si="8"/>
        <v>20</v>
      </c>
      <c r="O71">
        <f t="shared" si="9"/>
        <v>13</v>
      </c>
      <c r="P71">
        <f t="shared" si="10"/>
        <v>21</v>
      </c>
      <c r="Q71">
        <f t="shared" si="11"/>
        <v>12</v>
      </c>
    </row>
    <row r="72" spans="1:17" x14ac:dyDescent="0.15">
      <c r="A72">
        <v>23</v>
      </c>
      <c r="B72" s="4" t="s">
        <v>17</v>
      </c>
      <c r="C72" t="s">
        <v>15</v>
      </c>
      <c r="D72">
        <v>7</v>
      </c>
      <c r="E72">
        <v>4</v>
      </c>
      <c r="F72">
        <v>5</v>
      </c>
      <c r="G72">
        <v>6</v>
      </c>
      <c r="H72">
        <v>4</v>
      </c>
      <c r="I72">
        <v>7</v>
      </c>
      <c r="J72">
        <v>5</v>
      </c>
      <c r="K72">
        <v>6</v>
      </c>
      <c r="L72">
        <v>4</v>
      </c>
      <c r="M72">
        <v>5</v>
      </c>
      <c r="N72">
        <f t="shared" si="8"/>
        <v>21</v>
      </c>
      <c r="O72">
        <f t="shared" si="9"/>
        <v>16</v>
      </c>
      <c r="P72">
        <f t="shared" si="10"/>
        <v>22</v>
      </c>
      <c r="Q72">
        <f t="shared" si="11"/>
        <v>15</v>
      </c>
    </row>
    <row r="73" spans="1:17" x14ac:dyDescent="0.15">
      <c r="A73">
        <v>23</v>
      </c>
      <c r="B73" s="1">
        <v>3</v>
      </c>
      <c r="C73" t="s">
        <v>16</v>
      </c>
      <c r="D73">
        <v>2</v>
      </c>
      <c r="E73">
        <v>2</v>
      </c>
      <c r="F73">
        <v>1</v>
      </c>
      <c r="G73">
        <v>5</v>
      </c>
      <c r="H73">
        <v>6</v>
      </c>
      <c r="I73">
        <v>5</v>
      </c>
      <c r="J73">
        <v>3</v>
      </c>
      <c r="K73">
        <v>2</v>
      </c>
      <c r="L73">
        <v>5</v>
      </c>
      <c r="M73">
        <v>6</v>
      </c>
      <c r="N73">
        <f t="shared" si="8"/>
        <v>27</v>
      </c>
      <c r="O73">
        <f t="shared" si="9"/>
        <v>5</v>
      </c>
      <c r="P73">
        <f t="shared" si="10"/>
        <v>19</v>
      </c>
      <c r="Q73">
        <f t="shared" si="11"/>
        <v>13</v>
      </c>
    </row>
    <row r="74" spans="1:17" x14ac:dyDescent="0.15">
      <c r="A74">
        <v>23</v>
      </c>
      <c r="B74" s="1">
        <v>5</v>
      </c>
      <c r="C74" t="s">
        <v>16</v>
      </c>
      <c r="D74">
        <v>3</v>
      </c>
      <c r="E74">
        <v>4</v>
      </c>
      <c r="F74">
        <v>5</v>
      </c>
      <c r="G74">
        <v>5</v>
      </c>
      <c r="H74">
        <v>4</v>
      </c>
      <c r="I74">
        <v>5</v>
      </c>
      <c r="J74">
        <v>6</v>
      </c>
      <c r="K74">
        <v>4</v>
      </c>
      <c r="L74">
        <v>3</v>
      </c>
      <c r="M74">
        <v>2</v>
      </c>
      <c r="N74">
        <f t="shared" si="8"/>
        <v>17</v>
      </c>
      <c r="O74">
        <f t="shared" si="9"/>
        <v>12</v>
      </c>
      <c r="P74">
        <f t="shared" si="10"/>
        <v>20</v>
      </c>
      <c r="Q74">
        <f t="shared" si="11"/>
        <v>9</v>
      </c>
    </row>
    <row r="75" spans="1:17" x14ac:dyDescent="0.15">
      <c r="A75">
        <v>24</v>
      </c>
      <c r="B75" s="1">
        <v>4</v>
      </c>
      <c r="C75" t="s">
        <v>13</v>
      </c>
      <c r="D75">
        <v>4</v>
      </c>
      <c r="E75">
        <v>4</v>
      </c>
      <c r="F75">
        <v>4</v>
      </c>
      <c r="G75">
        <v>6</v>
      </c>
      <c r="H75">
        <v>4</v>
      </c>
      <c r="I75">
        <v>5</v>
      </c>
      <c r="J75">
        <v>3</v>
      </c>
      <c r="K75">
        <v>3</v>
      </c>
      <c r="L75">
        <v>5</v>
      </c>
      <c r="M75">
        <v>2</v>
      </c>
      <c r="N75">
        <f t="shared" si="8"/>
        <v>16</v>
      </c>
      <c r="O75">
        <f t="shared" si="9"/>
        <v>12</v>
      </c>
      <c r="P75">
        <f t="shared" si="10"/>
        <v>18</v>
      </c>
      <c r="Q75">
        <f t="shared" si="11"/>
        <v>10</v>
      </c>
    </row>
    <row r="76" spans="1:17" x14ac:dyDescent="0.15">
      <c r="A76">
        <v>24</v>
      </c>
      <c r="B76" s="1" t="s">
        <v>14</v>
      </c>
      <c r="C76" t="s">
        <v>15</v>
      </c>
      <c r="D76">
        <v>5</v>
      </c>
      <c r="E76">
        <v>6</v>
      </c>
      <c r="F76">
        <v>5</v>
      </c>
      <c r="G76">
        <v>7</v>
      </c>
      <c r="H76">
        <v>2</v>
      </c>
      <c r="I76">
        <v>7</v>
      </c>
      <c r="J76">
        <v>5</v>
      </c>
      <c r="K76">
        <v>5</v>
      </c>
      <c r="L76">
        <v>4</v>
      </c>
      <c r="M76">
        <v>3</v>
      </c>
      <c r="N76">
        <f t="shared" si="8"/>
        <v>17</v>
      </c>
      <c r="O76">
        <f t="shared" si="9"/>
        <v>16</v>
      </c>
      <c r="P76">
        <f t="shared" si="10"/>
        <v>21</v>
      </c>
      <c r="Q76">
        <f t="shared" si="11"/>
        <v>12</v>
      </c>
    </row>
    <row r="77" spans="1:17" x14ac:dyDescent="0.15">
      <c r="A77">
        <v>24</v>
      </c>
      <c r="B77" s="1">
        <v>3</v>
      </c>
      <c r="C77" t="s">
        <v>16</v>
      </c>
      <c r="D77">
        <v>2</v>
      </c>
      <c r="E77">
        <v>3</v>
      </c>
      <c r="F77">
        <v>3</v>
      </c>
      <c r="G77">
        <v>5</v>
      </c>
      <c r="H77">
        <v>5</v>
      </c>
      <c r="I77">
        <v>4</v>
      </c>
      <c r="J77">
        <v>2</v>
      </c>
      <c r="K77">
        <v>2</v>
      </c>
      <c r="L77">
        <v>6</v>
      </c>
      <c r="M77">
        <v>2</v>
      </c>
      <c r="N77">
        <f t="shared" si="8"/>
        <v>18</v>
      </c>
      <c r="O77">
        <f t="shared" si="9"/>
        <v>8</v>
      </c>
      <c r="P77">
        <f t="shared" si="10"/>
        <v>16</v>
      </c>
      <c r="Q77">
        <f t="shared" si="11"/>
        <v>10</v>
      </c>
    </row>
    <row r="78" spans="1:17" x14ac:dyDescent="0.15">
      <c r="A78">
        <v>25</v>
      </c>
      <c r="B78" s="1">
        <v>4</v>
      </c>
      <c r="C78" t="s">
        <v>13</v>
      </c>
      <c r="D78">
        <v>2</v>
      </c>
      <c r="E78">
        <v>3</v>
      </c>
      <c r="F78">
        <v>2</v>
      </c>
      <c r="G78">
        <v>5</v>
      </c>
      <c r="H78">
        <v>3</v>
      </c>
      <c r="I78">
        <v>5</v>
      </c>
      <c r="J78">
        <v>4</v>
      </c>
      <c r="K78">
        <v>4</v>
      </c>
      <c r="L78">
        <v>5</v>
      </c>
      <c r="M78">
        <v>2</v>
      </c>
      <c r="N78">
        <f t="shared" si="8"/>
        <v>21</v>
      </c>
      <c r="O78">
        <f t="shared" si="9"/>
        <v>7</v>
      </c>
      <c r="P78">
        <f t="shared" si="10"/>
        <v>17</v>
      </c>
      <c r="Q78">
        <f t="shared" si="11"/>
        <v>11</v>
      </c>
    </row>
    <row r="79" spans="1:17" x14ac:dyDescent="0.15">
      <c r="A79">
        <v>25</v>
      </c>
      <c r="B79" s="1" t="s">
        <v>14</v>
      </c>
      <c r="C79" t="s">
        <v>15</v>
      </c>
      <c r="D79">
        <v>4</v>
      </c>
      <c r="E79">
        <v>6</v>
      </c>
      <c r="F79">
        <v>4</v>
      </c>
      <c r="G79">
        <v>5</v>
      </c>
      <c r="H79">
        <v>2</v>
      </c>
      <c r="I79">
        <v>5</v>
      </c>
      <c r="J79">
        <v>4</v>
      </c>
      <c r="K79">
        <v>5</v>
      </c>
      <c r="L79">
        <v>5</v>
      </c>
      <c r="M79">
        <v>2</v>
      </c>
      <c r="N79">
        <f t="shared" si="8"/>
        <v>14</v>
      </c>
      <c r="O79">
        <f t="shared" si="9"/>
        <v>14</v>
      </c>
      <c r="P79">
        <f t="shared" si="10"/>
        <v>16</v>
      </c>
      <c r="Q79">
        <f t="shared" si="11"/>
        <v>12</v>
      </c>
    </row>
    <row r="80" spans="1:17" x14ac:dyDescent="0.15">
      <c r="A80">
        <v>25</v>
      </c>
      <c r="B80" s="1">
        <v>3</v>
      </c>
      <c r="C80" t="s">
        <v>16</v>
      </c>
      <c r="D80">
        <v>2</v>
      </c>
      <c r="E80">
        <v>2</v>
      </c>
      <c r="F80">
        <v>2</v>
      </c>
      <c r="G80">
        <v>3</v>
      </c>
      <c r="H80">
        <v>5</v>
      </c>
      <c r="I80">
        <v>5</v>
      </c>
      <c r="J80">
        <v>2</v>
      </c>
      <c r="K80">
        <v>3</v>
      </c>
      <c r="L80">
        <v>6</v>
      </c>
      <c r="M80">
        <v>2</v>
      </c>
      <c r="N80">
        <f t="shared" si="8"/>
        <v>20</v>
      </c>
      <c r="O80">
        <f t="shared" si="9"/>
        <v>6</v>
      </c>
      <c r="P80">
        <f t="shared" si="10"/>
        <v>15</v>
      </c>
      <c r="Q80">
        <f t="shared" si="11"/>
        <v>11</v>
      </c>
    </row>
    <row r="81" spans="1:17" x14ac:dyDescent="0.15">
      <c r="A81">
        <v>26</v>
      </c>
      <c r="B81" s="1">
        <v>4</v>
      </c>
      <c r="C81" t="s">
        <v>13</v>
      </c>
      <c r="D81">
        <v>3</v>
      </c>
      <c r="E81">
        <v>4</v>
      </c>
      <c r="F81">
        <v>4</v>
      </c>
      <c r="G81">
        <v>5</v>
      </c>
      <c r="H81">
        <v>4</v>
      </c>
      <c r="I81">
        <v>6</v>
      </c>
      <c r="J81">
        <v>5</v>
      </c>
      <c r="K81">
        <v>5</v>
      </c>
      <c r="L81">
        <v>4</v>
      </c>
      <c r="M81">
        <v>2</v>
      </c>
      <c r="N81">
        <f t="shared" si="8"/>
        <v>20</v>
      </c>
      <c r="O81">
        <f t="shared" si="9"/>
        <v>11</v>
      </c>
      <c r="P81">
        <f t="shared" si="10"/>
        <v>20</v>
      </c>
      <c r="Q81">
        <f t="shared" si="11"/>
        <v>11</v>
      </c>
    </row>
    <row r="82" spans="1:17" x14ac:dyDescent="0.15">
      <c r="A82">
        <v>26</v>
      </c>
      <c r="B82" s="1" t="s">
        <v>14</v>
      </c>
      <c r="C82" t="s">
        <v>15</v>
      </c>
      <c r="D82">
        <v>3</v>
      </c>
      <c r="E82">
        <v>6</v>
      </c>
      <c r="F82">
        <v>4</v>
      </c>
      <c r="G82">
        <v>4</v>
      </c>
      <c r="H82">
        <v>3</v>
      </c>
      <c r="I82">
        <v>6</v>
      </c>
      <c r="J82">
        <v>5</v>
      </c>
      <c r="K82">
        <v>6</v>
      </c>
      <c r="L82">
        <v>3</v>
      </c>
      <c r="M82">
        <v>2</v>
      </c>
      <c r="N82">
        <f t="shared" si="8"/>
        <v>16</v>
      </c>
      <c r="O82">
        <f t="shared" si="9"/>
        <v>13</v>
      </c>
      <c r="P82">
        <f t="shared" si="10"/>
        <v>18</v>
      </c>
      <c r="Q82">
        <f t="shared" si="11"/>
        <v>11</v>
      </c>
    </row>
    <row r="83" spans="1:17" x14ac:dyDescent="0.15">
      <c r="A83">
        <v>26</v>
      </c>
      <c r="B83" s="1">
        <v>3</v>
      </c>
      <c r="C83" t="s">
        <v>16</v>
      </c>
      <c r="D83">
        <v>1</v>
      </c>
      <c r="E83">
        <v>1</v>
      </c>
      <c r="F83">
        <v>2</v>
      </c>
      <c r="G83">
        <v>6</v>
      </c>
      <c r="H83">
        <v>6</v>
      </c>
      <c r="I83">
        <v>4</v>
      </c>
      <c r="J83">
        <v>3</v>
      </c>
      <c r="K83">
        <v>3</v>
      </c>
      <c r="L83">
        <v>6</v>
      </c>
      <c r="M83">
        <v>2</v>
      </c>
      <c r="N83">
        <f t="shared" si="8"/>
        <v>26</v>
      </c>
      <c r="O83">
        <f t="shared" si="9"/>
        <v>4</v>
      </c>
      <c r="P83">
        <f t="shared" si="10"/>
        <v>19</v>
      </c>
      <c r="Q83">
        <f t="shared" si="11"/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sqref="A1:D1"/>
    </sheetView>
  </sheetViews>
  <sheetFormatPr defaultColWidth="9" defaultRowHeight="13.5" x14ac:dyDescent="0.15"/>
  <cols>
    <col min="1" max="1" width="20.375" customWidth="1"/>
    <col min="2" max="2" width="56.25" customWidth="1"/>
  </cols>
  <sheetData>
    <row r="1" spans="1:4" ht="18.75" x14ac:dyDescent="0.15">
      <c r="A1" s="9" t="s">
        <v>23</v>
      </c>
      <c r="B1" s="9"/>
      <c r="C1" s="9"/>
      <c r="D1" s="9"/>
    </row>
    <row r="3" spans="1:4" x14ac:dyDescent="0.15">
      <c r="A3" s="5" t="s">
        <v>24</v>
      </c>
      <c r="B3" s="5" t="s">
        <v>25</v>
      </c>
      <c r="C3" s="5"/>
      <c r="D3" s="5"/>
    </row>
    <row r="4" spans="1:4" x14ac:dyDescent="0.15">
      <c r="A4" s="6" t="s">
        <v>26</v>
      </c>
      <c r="B4" s="6" t="s">
        <v>27</v>
      </c>
      <c r="C4" s="6"/>
      <c r="D4" s="6"/>
    </row>
    <row r="5" spans="1:4" x14ac:dyDescent="0.15">
      <c r="A5" s="6" t="s">
        <v>28</v>
      </c>
      <c r="B5" s="6" t="s">
        <v>29</v>
      </c>
      <c r="C5" s="6"/>
      <c r="D5" s="6"/>
    </row>
    <row r="6" spans="1:4" x14ac:dyDescent="0.15">
      <c r="A6" s="6" t="s">
        <v>30</v>
      </c>
      <c r="B6" s="6" t="s">
        <v>31</v>
      </c>
      <c r="C6" s="6"/>
      <c r="D6" s="6"/>
    </row>
    <row r="7" spans="1:4" x14ac:dyDescent="0.15">
      <c r="A7" s="6" t="s">
        <v>19</v>
      </c>
      <c r="B7" s="6" t="s">
        <v>32</v>
      </c>
      <c r="C7" s="6"/>
      <c r="D7" s="6"/>
    </row>
    <row r="8" spans="1:4" ht="27" x14ac:dyDescent="0.15">
      <c r="A8" s="6" t="s">
        <v>33</v>
      </c>
      <c r="B8" s="6" t="s">
        <v>34</v>
      </c>
      <c r="C8" s="6"/>
      <c r="D8" s="6"/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ColWidth="9" defaultRowHeight="13.5" x14ac:dyDescent="0.15"/>
  <cols>
    <col min="1" max="1" width="7.75" customWidth="1"/>
    <col min="2" max="2" width="5.75" customWidth="1"/>
    <col min="3" max="3" width="12" customWidth="1"/>
    <col min="4" max="6" width="5.75" customWidth="1"/>
  </cols>
  <sheetData>
    <row r="1" spans="1:6" x14ac:dyDescent="0.15">
      <c r="A1" s="7" t="s">
        <v>2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</row>
    <row r="2" spans="1:6" x14ac:dyDescent="0.15">
      <c r="A2" t="s">
        <v>16</v>
      </c>
      <c r="B2">
        <f>COUNTIF(Sheet1!$C$2:$C$83,A2)</f>
        <v>30</v>
      </c>
      <c r="C2" s="8">
        <f>AVERAGEIF(Sheet1!$C$2:$C$83,A2,Sheet1!$N$2:$N$83)</f>
        <v>21.266666666666666</v>
      </c>
      <c r="D2" s="8">
        <v>4.5100143996507898</v>
      </c>
      <c r="E2" s="8">
        <v>12</v>
      </c>
      <c r="F2" s="8">
        <v>31</v>
      </c>
    </row>
    <row r="3" spans="1:6" x14ac:dyDescent="0.15">
      <c r="A3" t="s">
        <v>13</v>
      </c>
      <c r="B3">
        <f>COUNTIF(Sheet1!$C$2:$C$83,A3)</f>
        <v>24</v>
      </c>
      <c r="C3" s="8">
        <f>AVERAGEIF(Sheet1!$C$2:$C$83,A3,Sheet1!$N$2:$N$83)</f>
        <v>19.75</v>
      </c>
      <c r="D3" s="8">
        <v>4.6461765487053039</v>
      </c>
      <c r="E3" s="8">
        <v>12</v>
      </c>
      <c r="F3" s="8">
        <v>29</v>
      </c>
    </row>
    <row r="4" spans="1:6" x14ac:dyDescent="0.15">
      <c r="A4" t="s">
        <v>15</v>
      </c>
      <c r="B4">
        <f>COUNTIF(Sheet1!$C$2:$C$83,A4)</f>
        <v>28</v>
      </c>
      <c r="C4" s="8">
        <f>AVERAGEIF(Sheet1!$C$2:$C$83,A4,Sheet1!$N$2:$N$83)</f>
        <v>16.714285714285715</v>
      </c>
      <c r="D4" s="8">
        <v>5.3184315625675103</v>
      </c>
      <c r="E4" s="8">
        <v>5</v>
      </c>
      <c r="F4" s="8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计算说明</vt:lpstr>
      <vt:lpstr>难度汇总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 B</cp:lastModifiedBy>
  <dcterms:created xsi:type="dcterms:W3CDTF">2026-05-25T09:03:14Z</dcterms:created>
  <dcterms:modified xsi:type="dcterms:W3CDTF">2026-05-25T09:03:14Z</dcterms:modified>
</cp:coreProperties>
</file>